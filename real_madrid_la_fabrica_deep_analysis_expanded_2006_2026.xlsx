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s" sheetId="1" r:id="rId5"/>
    <sheet state="visible" name="Coverage" sheetId="2" r:id="rId6"/>
    <sheet state="visible" name="Summary" sheetId="3" r:id="rId7"/>
    <sheet state="visible" name="Timeline" sheetId="4" r:id="rId8"/>
    <sheet state="visible" name="Glossary" sheetId="5" r:id="rId9"/>
    <sheet state="visible" name="Sources" sheetId="6" r:id="rId10"/>
    <sheet state="visible" name="By season" sheetId="7" r:id="rId11"/>
  </sheets>
  <definedNames>
    <definedName hidden="1" localSheetId="0" name="_xlnm._FilterDatabase">Cases!$A$1:$Q$138</definedName>
    <definedName hidden="1" localSheetId="3" name="_xlnm._FilterDatabase">Timeline!$A$1:$F$34</definedName>
  </definedNames>
  <calcPr/>
</workbook>
</file>

<file path=xl/sharedStrings.xml><?xml version="1.0" encoding="utf-8"?>
<sst xmlns="http://schemas.openxmlformats.org/spreadsheetml/2006/main" count="1818" uniqueCount="532">
  <si>
    <t>Year</t>
  </si>
  <si>
    <t>COVERAGE OF THE EXPANDED RESEARCH</t>
  </si>
  <si>
    <t>REAL MADRID · LA FÁBRICA — EXPANDED ANALYSIS 2006–2026</t>
  </si>
  <si>
    <t>Player</t>
  </si>
  <si>
    <t>Destination club</t>
  </si>
  <si>
    <t>Fee (€M)</t>
  </si>
  <si>
    <t>Model</t>
  </si>
  <si>
    <t>Optionality</t>
  </si>
  <si>
    <t>Position</t>
  </si>
  <si>
    <t>Roberto Soldado</t>
  </si>
  <si>
    <t>Getafe</t>
  </si>
  <si>
    <t>Year left</t>
  </si>
  <si>
    <t>Base expanded to 137 documented cases: sales, free transfers, loans, and deals with optionality.</t>
  </si>
  <si>
    <t>Operation type</t>
  </si>
  <si>
    <t>Type</t>
  </si>
  <si>
    <t>No. of cases</t>
  </si>
  <si>
    <t>Transfer</t>
  </si>
  <si>
    <t>Initial fee (€M)</t>
  </si>
  <si>
    <t>Retained rights (%)</t>
  </si>
  <si>
    <t>Buy-back</t>
  </si>
  <si>
    <t>Right of first refusal</t>
  </si>
  <si>
    <t>Sell-on (%)</t>
  </si>
  <si>
    <t>Sale with buy-back</t>
  </si>
  <si>
    <t>Metric</t>
  </si>
  <si>
    <t>Bought back</t>
  </si>
  <si>
    <t>Buy-back cost (€M)</t>
  </si>
  <si>
    <t>Value</t>
  </si>
  <si>
    <t>Direct net income (€M)</t>
  </si>
  <si>
    <t>Interpretation</t>
  </si>
  <si>
    <t>Optionality index</t>
  </si>
  <si>
    <t>Source / method</t>
  </si>
  <si>
    <t>Contractual detail</t>
  </si>
  <si>
    <t>Status</t>
  </si>
  <si>
    <t>Primary source</t>
  </si>
  <si>
    <t>Notes</t>
  </si>
  <si>
    <t>Total cases</t>
  </si>
  <si>
    <t>Confidence</t>
  </si>
  <si>
    <t>Forward</t>
  </si>
  <si>
    <t>Javi García</t>
  </si>
  <si>
    <t>Benfica</t>
  </si>
  <si>
    <t>Documented professional departures and relevant moves</t>
  </si>
  <si>
    <t>Transfermarkt by season + press sources from the original file</t>
  </si>
  <si>
    <t>Yes</t>
  </si>
  <si>
    <t>Complete for the scope</t>
  </si>
  <si>
    <t>Not equivalent to every youth player who passed through the lower categories.</t>
  </si>
  <si>
    <t>No</t>
  </si>
  <si>
    <t>New cases added</t>
  </si>
  <si>
    <t>Documented cases</t>
  </si>
  <si>
    <t>New rows compared to the previous file</t>
  </si>
  <si>
    <t>2006-2026 review</t>
  </si>
  <si>
    <t>Completed</t>
  </si>
  <si>
    <t>Includes free transfers, loans, and deals with no public fee.</t>
  </si>
  <si>
    <t>Sales with fee &gt; 0</t>
  </si>
  <si>
    <t>Álvaro Negredo</t>
  </si>
  <si>
    <t>Almería / Sevilla</t>
  </si>
  <si>
    <t>Deals with an identified consideration</t>
  </si>
  <si>
    <t>Initial fee column</t>
  </si>
  <si>
    <t>Calculated</t>
  </si>
  <si>
    <t>Fees may be initial figures and may not include add-ons.</t>
  </si>
  <si>
    <t>Departures with no public fee</t>
  </si>
  <si>
    <t>Esteban Granero</t>
  </si>
  <si>
    <t>Free transfers, loans, or undisclosed amount</t>
  </si>
  <si>
    <t>Operation type + notes</t>
  </si>
  <si>
    <t>A 0 does not always mean no compensation existed.</t>
  </si>
  <si>
    <t>High confidence</t>
  </si>
  <si>
    <t>Dani Parejo</t>
  </si>
  <si>
    <t>Widely confirmed data</t>
  </si>
  <si>
    <t>Partial sale</t>
  </si>
  <si>
    <t>Primary source and press</t>
  </si>
  <si>
    <t>Prioritize these cases for financial analysis.</t>
  </si>
  <si>
    <t>Medium/low confidence</t>
  </si>
  <si>
    <t>Borja Valero</t>
  </si>
  <si>
    <t>Mallorca</t>
  </si>
  <si>
    <t>Cases requiring additional review</t>
  </si>
  <si>
    <t>Aggregator source or incomplete data</t>
  </si>
  <si>
    <t>Review</t>
  </si>
  <si>
    <t>Do not use as a definitive contractual figure.</t>
  </si>
  <si>
    <t>Juan Mata</t>
  </si>
  <si>
    <t>Amount reported as up to €6M</t>
  </si>
  <si>
    <t>Valencia</t>
  </si>
  <si>
    <t>Cumulative initial fees (€M)</t>
  </si>
  <si>
    <t>https://www.uefa.com/news-media/news/01cf-0f84e103e15d-07b4863d3d03-1000--soldado-set-to-seal-getafe-switch/</t>
  </si>
  <si>
    <t>End of contract</t>
  </si>
  <si>
    <t>Inclusion criteria</t>
  </si>
  <si>
    <t>José Callejón</t>
  </si>
  <si>
    <t>Espanyol</t>
  </si>
  <si>
    <t>1. Players developed at La Fábrica who reached Castilla, Real Madrid C, or the first team and had a documentable professional departure.</t>
  </si>
  <si>
    <t>2. Loans and free departures are also included to avoid bias toward only large sales.</t>
  </si>
  <si>
    <t>3. The list is not claimed to be a census of every youth player in history: historical lower-category squads do not have complete public traceability.</t>
  </si>
  <si>
    <t>4. Cuando no existe fee público fiable, el campo se deja en 0 y se explica en “Detalle contractual”; no debe interpretarse automáticamente como operación gratuita.</t>
  </si>
  <si>
    <t>5. Specific clauses are kept only when there is reasonably consistent public information.</t>
  </si>
  <si>
    <t>Dani Carvajal</t>
  </si>
  <si>
    <t>Bayer Leverkusen</t>
  </si>
  <si>
    <t>Pablo Sarabia</t>
  </si>
  <si>
    <t>Medium</t>
  </si>
  <si>
    <t>Joselu Mato</t>
  </si>
  <si>
    <t>Hoffenheim</t>
  </si>
  <si>
    <t>Midfielder</t>
  </si>
  <si>
    <t>Sale with sell-on</t>
  </si>
  <si>
    <t>Álvaro Morata</t>
  </si>
  <si>
    <t>Juventus</t>
  </si>
  <si>
    <t>Jesé Rodríguez</t>
  </si>
  <si>
    <t>PSG</t>
  </si>
  <si>
    <t>Deals with a buy-back clause</t>
  </si>
  <si>
    <t>Mariano Díaz</t>
  </si>
  <si>
    <t>Olympique Lyon</t>
  </si>
  <si>
    <t>Marcos Llorente</t>
  </si>
  <si>
    <t>Atlético de Madrid</t>
  </si>
  <si>
    <t>Outright sale</t>
  </si>
  <si>
    <t>Raúl de Tomás</t>
  </si>
  <si>
    <t>https://as.com/futbol/2009/07/27/mas_futbol/1248645630_850215.html</t>
  </si>
  <si>
    <t>Achraf Hakimi</t>
  </si>
  <si>
    <t>Inter de Milán</t>
  </si>
  <si>
    <t>Sergio Reguilón</t>
  </si>
  <si>
    <t>Deals with retained rights</t>
  </si>
  <si>
    <t>Tottenham</t>
  </si>
  <si>
    <t>Óscar Rodríguez</t>
  </si>
  <si>
    <t>Sevilla</t>
  </si>
  <si>
    <t>Fran García</t>
  </si>
  <si>
    <t>Rayo Vallecano</t>
  </si>
  <si>
    <t>Miguel Gutiérrez</t>
  </si>
  <si>
    <t>Girona</t>
  </si>
  <si>
    <t>Deals with a right of first refusal</t>
  </si>
  <si>
    <t>Madrid exercised the buy-back before selling to Sevilla</t>
  </si>
  <si>
    <t>https://www.relevo.com/futbol/liga-primera/formula-cedidos-funciona-ventas-recompra-20221223100551-nt.html</t>
  </si>
  <si>
    <t>Mario Gila</t>
  </si>
  <si>
    <t>Lazio</t>
  </si>
  <si>
    <t>Antonio Blanco</t>
  </si>
  <si>
    <t>Alavés</t>
  </si>
  <si>
    <t>Sergio Arribas</t>
  </si>
  <si>
    <t>Almería</t>
  </si>
  <si>
    <t>Carlos Dotor</t>
  </si>
  <si>
    <t>Celta de Vigo</t>
  </si>
  <si>
    <t>Juanmi Latasa</t>
  </si>
  <si>
    <t>Real Valladolid</t>
  </si>
  <si>
    <t>Bought back a year later</t>
  </si>
  <si>
    <t>Fees (€M)</t>
  </si>
  <si>
    <t>https://www.skysports.com/football/news/3814810/getafe-sign-granero</t>
  </si>
  <si>
    <t>Peter Federico</t>
  </si>
  <si>
    <t>Marvin Park</t>
  </si>
  <si>
    <t>Las Palmas</t>
  </si>
  <si>
    <t>Rafa Marín</t>
  </si>
  <si>
    <t>Nápoles</t>
  </si>
  <si>
    <t>Álex Jiménez</t>
  </si>
  <si>
    <t>AC Milan</t>
  </si>
  <si>
    <t>Future control rights reported</t>
  </si>
  <si>
    <t>Nico Paz</t>
  </si>
  <si>
    <t>Como</t>
  </si>
  <si>
    <t>Low</t>
  </si>
  <si>
    <t>Mario Martín</t>
  </si>
  <si>
    <t>Miguel Baeza</t>
  </si>
  <si>
    <t>Departure with no significant public fee</t>
  </si>
  <si>
    <t>https://www.transfermarkt.com/borja-valero/transfers/spieler/40372</t>
  </si>
  <si>
    <t>Attacking midfielder</t>
  </si>
  <si>
    <t>Strategic reading</t>
  </si>
  <si>
    <t>Winger</t>
  </si>
  <si>
    <t>Free departure after not renewing</t>
  </si>
  <si>
    <t>https://www.transfermarkt.com/juan-mata/transfers/spieler/44068</t>
  </si>
  <si>
    <t>1. De recompra clásica a “venta parcial”</t>
  </si>
  <si>
    <t>Between 2008 and 2016, buy-backs predominate: Granero, Carvajal, and Morata. Since 2021, the model of selling around 50% while retaining upside has become established.</t>
  </si>
  <si>
    <t>Right-back</t>
  </si>
  <si>
    <t>Bought back in 2011</t>
  </si>
  <si>
    <t>2. The club monetizes without losing control</t>
  </si>
  <si>
    <t>https://www.transfermarkt.com/jose-callejon/transfers/spieler/25927</t>
  </si>
  <si>
    <t>The modern pattern combines immediate cash, a buy-back clause, a right of first refusal, and a stake in a future sale. The departure is no longer binary: sale or loan.</t>
  </si>
  <si>
    <t>Left-back</t>
  </si>
  <si>
    <t>3. The academy works as an options portfolio</t>
  </si>
  <si>
    <t>Every partially sold academy graduate acts as a financial option: Madrid limits development risk while retaining exposure if the player increases in value.</t>
  </si>
  <si>
    <t>Centre-back</t>
  </si>
  <si>
    <t>Three buy-back windows; returned the following year</t>
  </si>
  <si>
    <t>4. Public information is incomplete</t>
  </si>
  <si>
    <t>https://www.uefa.com/uefachampionsleague/news/0250-0c5101575c8f-e8cc021f4c61-1000--carvajal-returns-to-madrid-from-leverkusen/</t>
  </si>
  <si>
    <t>Many official statements only confirm the deal. Fees, percentages, and buy-back prices usually come from the press; that is why each row includes a confidence level.</t>
  </si>
  <si>
    <t>5. Paradigmatic cases</t>
  </si>
  <si>
    <t>Carvajal represents the sporting buy-back; Morata, the buy-back and resale; Mariano, the sell-on arbitrage; Miguel and Arribas, the 50% model; Rafa Marín and Nico Paz, sophisticated optionality.</t>
  </si>
  <si>
    <t>High</t>
  </si>
  <si>
    <t>Buy-back clause reported</t>
  </si>
  <si>
    <t>https://www.transfermarkt.com/pablo-sarabia/transfers/spieler/74230</t>
  </si>
  <si>
    <t>Outright sale; returned years later on loan from another club</t>
  </si>
  <si>
    <t>https://www.transfermarkt.com/joselu/transfers/spieler/81999</t>
  </si>
  <si>
    <t>Bought back in 2016; later sold to Chelsea</t>
  </si>
  <si>
    <t>https://www.nbcsports.com/soccer/news/alvaro-morata-joins-juventus-from-real-madrid</t>
  </si>
  <si>
    <t>Outright sale reported at around €25M</t>
  </si>
  <si>
    <t>https://www.rtve.es/deportes/20160808/real-madrid-hace-oficial-traspaso-jese-rodriguez-psg/1380841.shtml</t>
  </si>
  <si>
    <t>35% retained and right of first refusal; returned in 2018</t>
  </si>
  <si>
    <t>https://en.as.com/en/2018/08/29/soccer/1535566126_578615.html</t>
  </si>
  <si>
    <t>Scope and caveats</t>
  </si>
  <si>
    <t>Official statement; fee reported by the press</t>
  </si>
  <si>
    <t>https://www.realmadrid.com/es-ES/noticias/club/comunicados/comunicado-oficial-marcos-llorente-20-06-2019</t>
  </si>
  <si>
    <t>La base cubre salidas profesionales relevantes y documentables desde 2006. No equivale a un censo absoluto de todos los jugadores que pasaron por cualquier categoría juvenil, ya que muchas bajas formativas, rescisiones y acuerdos menores no tienen cifras públicas. Las cifras contractuales deben leerse según la columna “Confianza”.</t>
  </si>
  <si>
    <t>https://www.transfermarkt.com/raul-de-tomas/transfers/spieler/206968</t>
  </si>
  <si>
    <t>Base fee close to €40M; right of first refusal reported</t>
  </si>
  <si>
    <t>https://uk.investing.com/news/general/inter-reach-agreement-to-sign-hakimi-from-real-madrid-2154298</t>
  </si>
  <si>
    <t>Add-ons up to €35M; buy-back approximately €40M</t>
  </si>
  <si>
    <t>https://en.as.com/en/2020/09/16/soccer/1600251928_757594.html</t>
  </si>
  <si>
    <t>25% retained according to press reports</t>
  </si>
  <si>
    <t>https://www.realtotal.de/en/oscar-wechsel-zum-fc-sevilla-perfekt/</t>
  </si>
  <si>
    <t>Rayo bought approximately 50%; buy-back in 2023</t>
  </si>
  <si>
    <t>https://www.mundodeportivo.com/futbol/rayo-vallecano/20210713/410516615409/fran-garcia-firma-por-el-rayo-hasta-2025.html</t>
  </si>
  <si>
    <t>50% model + buy-back + right of first refusal</t>
  </si>
  <si>
    <t>https://www.relevo.com/futbol/liga-primera/viaje-miguel-gutierrez-vuelta-20221028182012-nt.html</t>
  </si>
  <si>
    <t>50% retained, as reported</t>
  </si>
  <si>
    <t>https://www.mundodeportivo.com/futbol/real-madrid/20220704/1001831949/madrid-saca-buen-pellizco-venta-canterano-serie.html</t>
  </si>
  <si>
    <t>Partial structure reported; official statement confirms departure</t>
  </si>
  <si>
    <t>https://www.realmadrid.com/es-ES/noticias/club/comunicados/comunicado-oficial-antonio-blanco-25-07-2023</t>
  </si>
  <si>
    <t>Around €8M for 50%</t>
  </si>
  <si>
    <t>https://www.relevo.com/futbol/liga-primera/gesto-fichaje-arribas-almeria-contratazo-20230807150940-nt.html</t>
  </si>
  <si>
    <t>50% structure reported</t>
  </si>
  <si>
    <t>https://www.transfermarkt.com/carlos-dotor/transfers/spieler/536293</t>
  </si>
  <si>
    <t>Official statement; financial terms reported</t>
  </si>
  <si>
    <t>https://www.realmadrid.com/es-ES/noticias/club/comunicados/comunicado-oficial-latasa-14-08-2024</t>
  </si>
  <si>
    <t>Official statement; 50% reported</t>
  </si>
  <si>
    <t>https://www.realmadrid.com/es-ES/noticias/club/comunicados/comunicado-oficial-peter-federico-04-07-2024</t>
  </si>
  <si>
    <t>Winger/Full-back</t>
  </si>
  <si>
    <t>Madrid retains part of the rights, according to the press</t>
  </si>
  <si>
    <t>https://www.transfermarkt.com/marvin-park/transfers/spieler/568454</t>
  </si>
  <si>
    <t>Staggered buy-back clauses reported at €25M and €35M</t>
  </si>
  <si>
    <t>https://www.relevo.com/futbol/mercado-fichajes/rafa-marin-napoles-madrid-queda-20240703234327-nt.html</t>
  </si>
  <si>
    <t>Buy-back clauses reported at €9M and €12M; upside afterward</t>
  </si>
  <si>
    <t>https://www.relevo.com/futbol/mercado-fichajes/milan-queda-alex-jimenez-20240615114636-nt.html</t>
  </si>
  <si>
    <t>First sale for 50%; buy-back and right of first refusal structure</t>
  </si>
  <si>
    <t>https://www.relevo.com/futbol/mercado-fichajes/real-madrid-vende-nico-cesc-20240821181501-nt.html</t>
  </si>
  <si>
    <t>Deal reported as a partial sale; approximate figure</t>
  </si>
  <si>
    <t>https://www.transfermarkt.com/mario-martin/transfers/spieler/709991</t>
  </si>
  <si>
    <t>50% of rights reported</t>
  </si>
  <si>
    <t>https://www.transfermarkt.com/miguel-baeza/transfers/spieler/536290</t>
  </si>
  <si>
    <t>Rubén de la Red</t>
  </si>
  <si>
    <t>Academy graduate who later established himself in La Liga.</t>
  </si>
  <si>
    <t>https://www.transfermarkt.com/real-madrid-castilla/transfers/verein/6767/saison_id/2007</t>
  </si>
  <si>
    <t>Álvaro Arbeloa</t>
  </si>
  <si>
    <t>Deportivo de La Coruña</t>
  </si>
  <si>
    <t>Departure from the professional structure; later bought back by Real Madrid.</t>
  </si>
  <si>
    <t>https://www.transfermarkt.com/real-madrid-castilla/transfers/verein/6767/saison_id/2006</t>
  </si>
  <si>
    <t>Diego López</t>
  </si>
  <si>
    <t>Goalkeeper</t>
  </si>
  <si>
    <t>Villarreal</t>
  </si>
  <si>
    <t>Developed at the academy; returned to the first team in 2013.</t>
  </si>
  <si>
    <t>Álvaro Mejía</t>
  </si>
  <si>
    <t>Real Murcia</t>
  </si>
  <si>
    <t>Graduate of Castilla and the first team.</t>
  </si>
  <si>
    <t>Javier Balboa</t>
  </si>
  <si>
    <t>Right winger</t>
  </si>
  <si>
    <t>International sale from the first team.</t>
  </si>
  <si>
    <t>https://www.transfermarkt.com/real-madrid-castilla/transfers/verein/6767/saison_id/2008</t>
  </si>
  <si>
    <t>Adrián González</t>
  </si>
  <si>
    <t>Academy graduate departure to La Liga; amount not publicly verified.</t>
  </si>
  <si>
    <t>Miguel Torres</t>
  </si>
  <si>
    <t>Full-back</t>
  </si>
  <si>
    <t>Player developed at La Fábrica with first-team minutes.</t>
  </si>
  <si>
    <t>https://www.transfermarkt.com/real-madrid-castilla/transfers/verein/6767/saison_id/2009</t>
  </si>
  <si>
    <t>Alberto Bueno</t>
  </si>
  <si>
    <t>Permanent departure after a spell at Castilla and the first team.</t>
  </si>
  <si>
    <t>Jordi Codina</t>
  </si>
  <si>
    <t>Free transfer</t>
  </si>
  <si>
    <t>End of spell after being the first team's goalkeeper.</t>
  </si>
  <si>
    <t>David Barral</t>
  </si>
  <si>
    <t>Sporting de Gijón</t>
  </si>
  <si>
    <t>Departure from Castilla; public amount not confirmed.</t>
  </si>
  <si>
    <t>Rubén González</t>
  </si>
  <si>
    <t>Academy graduate who played for the first team.</t>
  </si>
  <si>
    <t>Juanfran Torres</t>
  </si>
  <si>
    <t>Osasuna</t>
  </si>
  <si>
    <t>Developed at La Fábrica; later elite career.</t>
  </si>
  <si>
    <t>Álvaro Portillo</t>
  </si>
  <si>
    <t>Gimnàstic</t>
  </si>
  <si>
    <t>Professional departure from Castilla.</t>
  </si>
  <si>
    <t>Álvaro Antón</t>
  </si>
  <si>
    <t>Departure from Castilla; fee not verified.</t>
  </si>
  <si>
    <t>David Mateos</t>
  </si>
  <si>
    <t>Real Zaragoza</t>
  </si>
  <si>
    <t>Loan</t>
  </si>
  <si>
    <t>Loan from the first team after development at Castilla.</t>
  </si>
  <si>
    <t>https://www.transfermarkt.com/real-madrid-castilla/transfers/verein/6767/saison_id/2011</t>
  </si>
  <si>
    <t>Marcos Alonso</t>
  </si>
  <si>
    <t>Bolton Wanderers</t>
  </si>
  <si>
    <t>Early sale to England; international career afterward.</t>
  </si>
  <si>
    <t>https://www.transfermarkt.com/real-madrid-castilla/transfers/verein/6767/saison_id/2010</t>
  </si>
  <si>
    <t>Rodrigo Moreno</t>
  </si>
  <si>
    <t>Deal linked to Benfica; academy graduate of high value later.</t>
  </si>
  <si>
    <t>Juan Carlos Pérez</t>
  </si>
  <si>
    <t>Sporting Braga</t>
  </si>
  <si>
    <t>Departure from Castilla; amount not verified.</t>
  </si>
  <si>
    <t>David González</t>
  </si>
  <si>
    <t>Real Oviedo</t>
  </si>
  <si>
    <t>Fran Rico</t>
  </si>
  <si>
    <t>Granada</t>
  </si>
  <si>
    <t>Sale from Castilla to a La Liga club.</t>
  </si>
  <si>
    <t>Juanan</t>
  </si>
  <si>
    <t>Fortuna Düsseldorf</t>
  </si>
  <si>
    <t>International departure from Castilla.</t>
  </si>
  <si>
    <t>Samuel Sáiz</t>
  </si>
  <si>
    <t>UD Melilla</t>
  </si>
  <si>
    <t>Academy graduate with a later professional career in Spain and England.</t>
  </si>
  <si>
    <t>Daniel Opare</t>
  </si>
  <si>
    <t>Standard Liège</t>
  </si>
  <si>
    <t>International departure after a spell at Castilla.</t>
  </si>
  <si>
    <t>Gary Kagelmacher</t>
  </si>
  <si>
    <t>Beerschot</t>
  </si>
  <si>
    <t>Felipe Ramos</t>
  </si>
  <si>
    <t>Deportivo B</t>
  </si>
  <si>
    <t>Departure from the academy structure.</t>
  </si>
  <si>
    <t>Antonio Adán</t>
  </si>
  <si>
    <t>Cagliari</t>
  </si>
  <si>
    <t>Academy graduate and first-team goalkeeper.</t>
  </si>
  <si>
    <t>https://www.transfermarkt.com/real-madrid-castilla/transfers/verein/6767/saison_id/2013</t>
  </si>
  <si>
    <t>Pedro Mosquera</t>
  </si>
  <si>
    <t>Departure from Castilla to La Liga.</t>
  </si>
  <si>
    <t>Javi Acuña</t>
  </si>
  <si>
    <t>Udinese</t>
  </si>
  <si>
    <t>Juan Carlos Martín</t>
  </si>
  <si>
    <t>Hércules</t>
  </si>
  <si>
    <t>Permanent departure after loan spells.</t>
  </si>
  <si>
    <t>Denis Cheryshev</t>
  </si>
  <si>
    <t>Left winger</t>
  </si>
  <si>
    <t>Academy graduate and first-team player; sold after several loan spells.</t>
  </si>
  <si>
    <t>https://www.transfermarkt.com/real-madrid-castilla/transfers/verein/6767/saison_id/2016</t>
  </si>
  <si>
    <t>Jesús Fernández</t>
  </si>
  <si>
    <t>Levante</t>
  </si>
  <si>
    <t>Goalkeeper developed at Castilla who played for the first team.</t>
  </si>
  <si>
    <t>https://www.transfermarkt.com/real-madrid-castilla/transfers/verein/6767/saison_id/2014</t>
  </si>
  <si>
    <t>Álex Fernández</t>
  </si>
  <si>
    <t>Departure to La Liga after standing out at Castilla.</t>
  </si>
  <si>
    <t>Nacho Cases</t>
  </si>
  <si>
    <t>AEK Larnaca</t>
  </si>
  <si>
    <t>Professional departure from the academy.</t>
  </si>
  <si>
    <t>Juanfran Moreno</t>
  </si>
  <si>
    <t>Real Betis</t>
  </si>
  <si>
    <t>Óscar Plano</t>
  </si>
  <si>
    <t>Alcorcón</t>
  </si>
  <si>
    <t>Departure from Castilla and a long professional career afterward.</t>
  </si>
  <si>
    <t>Iván González</t>
  </si>
  <si>
    <t>Erzgebirge Aue</t>
  </si>
  <si>
    <t>https://www.transfermarkt.com/real-madrid-castilla/transfers/verein/6767/saison_id/2012</t>
  </si>
  <si>
    <t>Joselu</t>
  </si>
  <si>
    <t>Sale to the Bundesliga; later returned to Real Madrid on loan.</t>
  </si>
  <si>
    <t>Daniel Pacheco</t>
  </si>
  <si>
    <t>Departure of a Castilla goalkeeper.</t>
  </si>
  <si>
    <t>Omar Mascarell</t>
  </si>
  <si>
    <t>Defensive midfielder</t>
  </si>
  <si>
    <t>Eintracht Frankfurt</t>
  </si>
  <si>
    <t>Sale with a reported buy-back option; later played in the Bundesliga.</t>
  </si>
  <si>
    <t>Lucas Vázquez</t>
  </si>
  <si>
    <t>Sale and later buy-back by Real Madrid.</t>
  </si>
  <si>
    <t>https://www.transfermarkt.com/real-madrid-castilla/transfers/verein/6767/saison_id/2015</t>
  </si>
  <si>
    <t>Diego Llorente</t>
  </si>
  <si>
    <t>Real Sociedad</t>
  </si>
  <si>
    <t>Sale after loan spells in La Liga; buy-back clause reported.</t>
  </si>
  <si>
    <t>https://www.transfermarkt.com/real-madrid-castilla/transfers/verein/6767/saison_id/2017</t>
  </si>
  <si>
    <t>Burgui</t>
  </si>
  <si>
    <t>Permanent sale after loan spells.</t>
  </si>
  <si>
    <t>Álvaro Medrán</t>
  </si>
  <si>
    <t>Departure to Valencia with contractual mechanisms reported.</t>
  </si>
  <si>
    <t>Rubén Yáñez</t>
  </si>
  <si>
    <t>Included in a deal with Getafe; individual value not public.</t>
  </si>
  <si>
    <t>Philipp Lienhart</t>
  </si>
  <si>
    <t>SC Freiburg</t>
  </si>
  <si>
    <t>Sale to the Bundesliga after a loan; later a full international.</t>
  </si>
  <si>
    <t>https://www.transfermarkt.com/real-madrid-castilla/transfers/verein/6767/saison_id/2018</t>
  </si>
  <si>
    <t>Abner Felipe</t>
  </si>
  <si>
    <t>Estoril</t>
  </si>
  <si>
    <t>Aleix Febas</t>
  </si>
  <si>
    <t>Departure after several loan spells and a standout spell at Castilla.</t>
  </si>
  <si>
    <t>https://www.transfermarkt.com/real-madrid-castilla/transfers/verein/6767/saison_id/2019</t>
  </si>
  <si>
    <t>Álvaro Tejero</t>
  </si>
  <si>
    <t>Eibar</t>
  </si>
  <si>
    <t>Permanent departure after a loan in the Segunda División.</t>
  </si>
  <si>
    <t>Javi Sánchez</t>
  </si>
  <si>
    <t>Sale after a loan; percentage of future sale reported.</t>
  </si>
  <si>
    <t>https://www.transfermarkt.com/real-madrid-castilla/transfers/verein/6767/saison_id/2020</t>
  </si>
  <si>
    <t>Jorge de Frutos</t>
  </si>
  <si>
    <t>Sale with a percentage of rights retained, as reported.</t>
  </si>
  <si>
    <t>Dani Gómez</t>
  </si>
  <si>
    <t>Martín Calderón</t>
  </si>
  <si>
    <t>Cádiz</t>
  </si>
  <si>
    <t>Departure after a loan spell; developed at La Fábrica.</t>
  </si>
  <si>
    <t>https://www.transfermarkt.com/real-madrid-castilla/transfers/verein/6767/saison_id/2021</t>
  </si>
  <si>
    <t>Ayoub Abou</t>
  </si>
  <si>
    <t>Bologna</t>
  </si>
  <si>
    <t>International departure; amount not verified.</t>
  </si>
  <si>
    <t>Franchu</t>
  </si>
  <si>
    <t>Fuenlabrada</t>
  </si>
  <si>
    <t>Loan from Castilla; permanent departure later.</t>
  </si>
  <si>
    <t>Seoane</t>
  </si>
  <si>
    <t>Huesca</t>
  </si>
  <si>
    <t>Departure from Castilla; later established himself in professional football.</t>
  </si>
  <si>
    <t>Borja Mayoral</t>
  </si>
  <si>
    <t>Permanent departure after multiple loan spells.</t>
  </si>
  <si>
    <t>https://www.transfermarkt.com/real-madrid-castilla/transfers/verein/6767/saison_id/2022</t>
  </si>
  <si>
    <t>Víctor Chust</t>
  </si>
  <si>
    <t>Álvaro Fidalgo</t>
  </si>
  <si>
    <t>Castellón</t>
  </si>
  <si>
    <t>Deal prior to his later move to Club América.</t>
  </si>
  <si>
    <t>Javi Hernández</t>
  </si>
  <si>
    <t>Leganés</t>
  </si>
  <si>
    <t>Sale from Castilla.</t>
  </si>
  <si>
    <t>Adrián de la Fuente</t>
  </si>
  <si>
    <t>Villarreal B</t>
  </si>
  <si>
    <t>Departure from Castilla.</t>
  </si>
  <si>
    <t>Javier Belman</t>
  </si>
  <si>
    <t>Hugo Vallejo</t>
  </si>
  <si>
    <t>Permanent departure from Castilla.</t>
  </si>
  <si>
    <t>Sergio López</t>
  </si>
  <si>
    <t>Basel</t>
  </si>
  <si>
    <t>Manu Hernando</t>
  </si>
  <si>
    <t>Tondela</t>
  </si>
  <si>
    <t>César Gelabert</t>
  </si>
  <si>
    <t>Mirandés</t>
  </si>
  <si>
    <t>Departure after a long spell at the academy.</t>
  </si>
  <si>
    <t>Diego Altube</t>
  </si>
  <si>
    <t>Albacete</t>
  </si>
  <si>
    <t>Toni Fuidias</t>
  </si>
  <si>
    <t>Alberto Retuerta</t>
  </si>
  <si>
    <t>Sergio Santos</t>
  </si>
  <si>
    <t>https://www.transfermarkt.com/real-madrid-castilla/transfers/verein/6767/saison_id/2023</t>
  </si>
  <si>
    <t>Jaume Jardí</t>
  </si>
  <si>
    <t>Luis López</t>
  </si>
  <si>
    <t>Javi Rueda</t>
  </si>
  <si>
    <t>Celta Fortuna</t>
  </si>
  <si>
    <t>Álvaro Martín</t>
  </si>
  <si>
    <t>FC Andorra</t>
  </si>
  <si>
    <t>Óscar Aranda</t>
  </si>
  <si>
    <t>Famalicão</t>
  </si>
  <si>
    <t>Sale to Portugal.</t>
  </si>
  <si>
    <t>Rodrigo Rodrigues</t>
  </si>
  <si>
    <t>Valencia Mestalla</t>
  </si>
  <si>
    <t>Israel Salazar</t>
  </si>
  <si>
    <t>Valladolid Promesas</t>
  </si>
  <si>
    <t>Julen Jon Guerrero</t>
  </si>
  <si>
    <t>Roma Primavera</t>
  </si>
  <si>
    <t>Loan from the academy.</t>
  </si>
  <si>
    <t>Lucas Cañizares</t>
  </si>
  <si>
    <t>Farense</t>
  </si>
  <si>
    <t>https://www.transfermarkt.com/real-madrid-castilla/transfers/verein/6767/saison_id/2024</t>
  </si>
  <si>
    <t>Rafa Obrador</t>
  </si>
  <si>
    <t>International sale from Castilla.</t>
  </si>
  <si>
    <t>https://www.transfermarkt.com/real-madrid-castilla/transfers/verein/6767/saison_id/2025</t>
  </si>
  <si>
    <t>Chema Andrés</t>
  </si>
  <si>
    <t>Stuttgart</t>
  </si>
  <si>
    <t>Sale to the Bundesliga with control mechanisms reported.</t>
  </si>
  <si>
    <t>Youssef Enríquez</t>
  </si>
  <si>
    <t>Sale from the academy structure.</t>
  </si>
  <si>
    <t>Jacobo Ramón</t>
  </si>
  <si>
    <t>Sale to Como with buy-back mechanisms reported.</t>
  </si>
  <si>
    <t>Marvel</t>
  </si>
  <si>
    <t>Departure from Castilla; approximate market figure.</t>
  </si>
  <si>
    <t>Álvaro Rodríguez</t>
  </si>
  <si>
    <t>Elche</t>
  </si>
  <si>
    <t>Departure from the first team/academy with retained rights reported.</t>
  </si>
  <si>
    <t>Vinícius Tobias</t>
  </si>
  <si>
    <t>Shakhtar Donetsk</t>
  </si>
  <si>
    <t>End of loan</t>
  </si>
  <si>
    <t>Return to the owning club after two seasons on loan.</t>
  </si>
  <si>
    <t>Pipi Nakai</t>
  </si>
  <si>
    <t>Sagan Tosu</t>
  </si>
  <si>
    <t>International departure after loan spells.</t>
  </si>
  <si>
    <t>Iker Bravo</t>
  </si>
  <si>
    <t>End of loan; player was not owned by Real Madrid.</t>
  </si>
  <si>
    <t>Theo Zidane</t>
  </si>
  <si>
    <t>Córdoba</t>
  </si>
  <si>
    <t>Departure after a long spell at La Fábrica.</t>
  </si>
  <si>
    <t>Carlos Muñoz</t>
  </si>
  <si>
    <t>Álvaro Carrillo</t>
  </si>
  <si>
    <t>Noel López</t>
  </si>
  <si>
    <t>Osasuna Promesas</t>
  </si>
  <si>
    <t>Loan from Castilla.</t>
  </si>
  <si>
    <t>Álvaro Leiva</t>
  </si>
  <si>
    <t>Javi Villar</t>
  </si>
  <si>
    <t>Professional departure; fee not verified.</t>
  </si>
  <si>
    <t>David Cuenca</t>
  </si>
  <si>
    <t>Moha Ramos</t>
  </si>
  <si>
    <t>Birmingham Legion</t>
  </si>
  <si>
    <t>International departure from the academy.</t>
  </si>
  <si>
    <t>Gorka Zabarte</t>
  </si>
  <si>
    <t>Osasuna B</t>
  </si>
  <si>
    <t>Álex Martín</t>
  </si>
  <si>
    <t>Leganés B</t>
  </si>
  <si>
    <t>Pedro Ruiz</t>
  </si>
  <si>
    <t>Olympique Marseille B</t>
  </si>
  <si>
    <t>International departure after a long injury.</t>
  </si>
  <si>
    <t>Augusto Galván</t>
  </si>
  <si>
    <t>Santos B</t>
  </si>
  <si>
    <t>Departure after several loan spells.</t>
  </si>
  <si>
    <t>Pau Russo</t>
  </si>
  <si>
    <t>Linares Deportivo</t>
  </si>
  <si>
    <t>Kenneth Soler</t>
  </si>
  <si>
    <t>Espanyol B</t>
  </si>
  <si>
    <t>Lorenzo Aguado</t>
  </si>
  <si>
    <t>Departure after reaching first-team squad call-ups.</t>
  </si>
  <si>
    <t>Mario de Luis</t>
  </si>
  <si>
    <t>Real Madrid C / cesión</t>
  </si>
  <si>
    <t>Internal move and loans; kept as a career-path case, not revenue.</t>
  </si>
  <si>
    <t>Jeremy de León</t>
  </si>
  <si>
    <t>Scheduled end of loan; 2026/27 season still subject to change.</t>
  </si>
  <si>
    <t>https://www.transfermarkt.com/real-madrid-castilla/transfers/verein/6767/saison_id/2026</t>
  </si>
  <si>
    <t>Field</t>
  </si>
  <si>
    <t>Definition</t>
  </si>
  <si>
    <t>Fixed amount reported at the time of departure. Does not always include add-ons, bonuses, or solidarity mechanisms.</t>
  </si>
  <si>
    <t>Share of the economic asset or of a future sale that, according to the sources, Real Madrid retains.</t>
  </si>
  <si>
    <t>Public or reported existence of a price/window allowing Madrid to reacquire the player.</t>
  </si>
  <si>
    <t>Right to match a future third-party offer.</t>
  </si>
  <si>
    <t>Reported stake in a future sale or in the capital gain.</t>
  </si>
  <si>
    <t>Initial fee minus buy-back cost when the player returned. Does not include later resales, salaries, or bonuses.</t>
  </si>
  <si>
    <t>Simple sum of four mechanisms: retained rights, buy-back, right of first refusal, and sell-on. Scale 0-4.</t>
  </si>
  <si>
    <t>High: primary source or several solid sources. Medium: widely reported figure. Low: database or secondary press without contractual confirmation.</t>
  </si>
  <si>
    <t>Main URL</t>
  </si>
  <si>
    <t>Confidence level</t>
  </si>
  <si>
    <t>Note</t>
  </si>
  <si>
    <t>Transfermarkt Castilla season 2006/07</t>
  </si>
  <si>
    <t>Season-by-season aggregator page for Castilla departures</t>
  </si>
  <si>
    <t>Transfermarkt Castilla season 2007/08</t>
  </si>
  <si>
    <t>Transfermarkt Castilla season 2008/09</t>
  </si>
  <si>
    <t>Transfermarkt Castilla season 2009/10</t>
  </si>
  <si>
    <t>Transfermarkt Castilla season 2010/11</t>
  </si>
  <si>
    <t>Transfermarkt Castilla season 2011/12</t>
  </si>
  <si>
    <t>Transfermarkt Castilla season 2012/13</t>
  </si>
  <si>
    <t>Transfermarkt Castilla season 2013/14</t>
  </si>
  <si>
    <t>Transfermarkt Castilla season 2014/15</t>
  </si>
  <si>
    <t>Transfermarkt Castilla season 2015/16</t>
  </si>
  <si>
    <t>Transfermarkt Castilla season 2016/17</t>
  </si>
  <si>
    <t>Transfermarkt Castilla season 2017/18</t>
  </si>
  <si>
    <t>Transfermarkt Castilla season 2018/19</t>
  </si>
  <si>
    <t>Transfermarkt Castilla season 2019/20</t>
  </si>
  <si>
    <t>Transfermarkt Castilla season 2020/21</t>
  </si>
  <si>
    <t>Transfermarkt Castilla season 2021/22</t>
  </si>
  <si>
    <t>Transfermarkt Castilla season 2022/23</t>
  </si>
  <si>
    <t>Transfermarkt Castilla season 2023/24</t>
  </si>
  <si>
    <t>Transfermarkt Castilla season 2024/25</t>
  </si>
  <si>
    <t>Transfermarkt Castilla season 2025/26</t>
  </si>
  <si>
    <t>Transfermarkt Castilla season 2026/27</t>
  </si>
  <si>
    <t>Fees identified (€M)</t>
  </si>
  <si>
    <t>With fee</t>
  </si>
  <si>
    <t>No fee/loan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</si>
</sst>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&quot;€ &quot;#,##0.0;[RED]&quot;(€ &quot;#,##0.0\);\-"/>
    <numFmt numFmtId="166" formatCode="0.0%"/>
  </numFmts>
  <fonts count="17">
    <font>
      <sz val="11.0"/>
      <color theme="1"/>
      <name val="Calibri"/>
      <scheme val="minor"/>
    </font>
    <font>
      <b/>
      <sz val="11.0"/>
      <color rgb="FFFFFFFF"/>
      <name val="Cambria"/>
    </font>
    <font>
      <b/>
      <sz val="20.0"/>
      <color rgb="FFFFFFFF"/>
      <name val="Cambria"/>
    </font>
    <font/>
    <font>
      <sz val="11.0"/>
      <color theme="1"/>
      <name val="Calibri"/>
    </font>
    <font>
      <b/>
      <sz val="18.0"/>
      <color rgb="FFFFFFFF"/>
      <name val="Cambria"/>
    </font>
    <font>
      <i/>
      <sz val="11.0"/>
      <color rgb="FF666666"/>
      <name val="Cambria"/>
    </font>
    <font>
      <sz val="10.0"/>
      <color rgb="FF008000"/>
      <name val="Aptos"/>
    </font>
    <font>
      <b/>
      <sz val="11.0"/>
      <color rgb="FF000000"/>
      <name val="Cambria"/>
    </font>
    <font>
      <b/>
      <sz val="11.0"/>
      <color rgb="FF0000FF"/>
      <name val="Cambria"/>
    </font>
    <font>
      <b/>
      <sz val="11.0"/>
      <color theme="1"/>
      <name val="Cambria"/>
    </font>
    <font>
      <sz val="10.0"/>
      <color rgb="FF000000"/>
      <name val="Aptos"/>
    </font>
    <font>
      <b/>
      <sz val="14.0"/>
      <color theme="1"/>
      <name val="Cambria"/>
    </font>
    <font>
      <u/>
      <sz val="10.0"/>
      <color rgb="FF008000"/>
      <name val="Aptos"/>
    </font>
    <font>
      <b/>
      <sz val="15.0"/>
      <color rgb="FFFFFFFF"/>
      <name val="Cambria"/>
    </font>
    <font>
      <b/>
      <sz val="11.0"/>
      <color rgb="FF172B4D"/>
      <name val="Cambria"/>
    </font>
    <font>
      <u/>
      <sz val="12.0"/>
      <color theme="1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72B4D"/>
        <bgColor rgb="FF172B4D"/>
      </patternFill>
    </fill>
    <fill>
      <patternFill patternType="solid">
        <fgColor rgb="FF0B1F3A"/>
        <bgColor rgb="FF0B1F3A"/>
      </patternFill>
    </fill>
    <fill>
      <patternFill patternType="solid">
        <fgColor rgb="FF163A5F"/>
        <bgColor rgb="FF163A5F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4CCCC"/>
        <bgColor rgb="FFF4CCCC"/>
      </patternFill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</fills>
  <borders count="1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3" fillId="0" fontId="3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0" fillId="0" fontId="4" numFmtId="0" xfId="0" applyAlignment="1" applyFont="1">
      <alignment vertical="bottom"/>
    </xf>
    <xf borderId="2" fillId="3" fontId="5" numFmtId="0" xfId="0" applyAlignment="1" applyBorder="1" applyFill="1" applyFont="1">
      <alignment vertical="bottom"/>
    </xf>
    <xf borderId="0" fillId="0" fontId="6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1" fillId="4" fontId="1" numFmtId="0" xfId="0" applyAlignment="1" applyBorder="1" applyFill="1" applyFont="1">
      <alignment vertical="bottom"/>
    </xf>
    <xf borderId="0" fillId="0" fontId="7" numFmtId="0" xfId="0" applyAlignment="1" applyFont="1">
      <alignment vertical="bottom"/>
    </xf>
    <xf borderId="0" fillId="0" fontId="7" numFmtId="165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7" numFmtId="166" xfId="0" applyAlignment="1" applyFont="1" applyNumberFormat="1">
      <alignment vertical="bottom"/>
    </xf>
    <xf borderId="0" fillId="0" fontId="4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1" fillId="5" fontId="10" numFmtId="0" xfId="0" applyAlignment="1" applyBorder="1" applyFill="1" applyFont="1">
      <alignment vertical="bottom"/>
    </xf>
    <xf borderId="0" fillId="0" fontId="11" numFmtId="165" xfId="0" applyAlignment="1" applyFont="1" applyNumberFormat="1">
      <alignment vertical="bottom"/>
    </xf>
    <xf borderId="1" fillId="5" fontId="12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7" numFmtId="0" xfId="0" applyAlignment="1" applyFont="1">
      <alignment shrinkToFit="0" vertical="top" wrapText="1"/>
    </xf>
    <xf borderId="2" fillId="3" fontId="1" numFmtId="0" xfId="0" applyAlignment="1" applyBorder="1" applyFont="1">
      <alignment vertical="bottom"/>
    </xf>
    <xf borderId="1" fillId="5" fontId="12" numFmtId="164" xfId="0" applyAlignment="1" applyBorder="1" applyFont="1" applyNumberFormat="1">
      <alignment vertical="bottom"/>
    </xf>
    <xf borderId="0" fillId="0" fontId="13" numFmtId="0" xfId="0" applyAlignment="1" applyFont="1">
      <alignment vertical="bottom"/>
    </xf>
    <xf borderId="1" fillId="6" fontId="7" numFmtId="0" xfId="0" applyAlignment="1" applyBorder="1" applyFill="1" applyFont="1">
      <alignment vertical="bottom"/>
    </xf>
    <xf borderId="1" fillId="7" fontId="7" numFmtId="0" xfId="0" applyAlignment="1" applyBorder="1" applyFill="1" applyFont="1">
      <alignment vertical="bottom"/>
    </xf>
    <xf borderId="2" fillId="8" fontId="14" numFmtId="0" xfId="0" applyAlignment="1" applyBorder="1" applyFill="1" applyFont="1">
      <alignment vertical="bottom"/>
    </xf>
    <xf borderId="0" fillId="0" fontId="15" numFmtId="0" xfId="0" applyAlignment="1" applyFont="1">
      <alignment vertical="bottom"/>
    </xf>
    <xf borderId="0" fillId="0" fontId="4" numFmtId="0" xfId="0" applyAlignment="1" applyFont="1">
      <alignment shrinkToFit="0" vertical="top" wrapText="1"/>
    </xf>
    <xf borderId="1" fillId="9" fontId="7" numFmtId="0" xfId="0" applyAlignment="1" applyBorder="1" applyFill="1" applyFont="1">
      <alignment vertical="bottom"/>
    </xf>
    <xf borderId="2" fillId="2" fontId="14" numFmtId="0" xfId="0" applyAlignment="1" applyBorder="1" applyFont="1">
      <alignment vertical="bottom"/>
    </xf>
    <xf borderId="5" fillId="6" fontId="4" numFmtId="0" xfId="0" applyAlignment="1" applyBorder="1" applyFont="1">
      <alignment shrinkToFit="0" vertical="top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0" fillId="0" fontId="16" numFmtId="0" xfId="0" applyAlignment="1" applyFont="1">
      <alignment vertical="bottom"/>
    </xf>
    <xf borderId="1" fillId="3" fontId="1" numFmtId="0" xfId="0" applyAlignment="1" applyBorder="1" applyFont="1">
      <alignment vertical="bottom"/>
    </xf>
    <xf borderId="0" fillId="0" fontId="4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ransfermarkt.com/real-madrid-castilla/transfers/verein/6767/saison_id/2009" TargetMode="External"/><Relationship Id="rId42" Type="http://schemas.openxmlformats.org/officeDocument/2006/relationships/hyperlink" Target="https://www.transfermarkt.com/real-madrid-castilla/transfers/verein/6767/saison_id/2009" TargetMode="External"/><Relationship Id="rId41" Type="http://schemas.openxmlformats.org/officeDocument/2006/relationships/hyperlink" Target="https://www.transfermarkt.com/real-madrid-castilla/transfers/verein/6767/saison_id/2009" TargetMode="External"/><Relationship Id="rId44" Type="http://schemas.openxmlformats.org/officeDocument/2006/relationships/hyperlink" Target="https://www.transfermarkt.com/real-madrid-castilla/transfers/verein/6767/saison_id/2008" TargetMode="External"/><Relationship Id="rId43" Type="http://schemas.openxmlformats.org/officeDocument/2006/relationships/hyperlink" Target="https://www.transfermarkt.com/real-madrid-castilla/transfers/verein/6767/saison_id/2006" TargetMode="External"/><Relationship Id="rId46" Type="http://schemas.openxmlformats.org/officeDocument/2006/relationships/hyperlink" Target="https://www.transfermarkt.com/real-madrid-castilla/transfers/verein/6767/saison_id/2006" TargetMode="External"/><Relationship Id="rId45" Type="http://schemas.openxmlformats.org/officeDocument/2006/relationships/hyperlink" Target="https://www.transfermarkt.com/real-madrid-castilla/transfers/verein/6767/saison_id/2006" TargetMode="External"/><Relationship Id="rId107" Type="http://schemas.openxmlformats.org/officeDocument/2006/relationships/hyperlink" Target="https://www.transfermarkt.com/real-madrid-castilla/transfers/verein/6767/saison_id/2023" TargetMode="External"/><Relationship Id="rId106" Type="http://schemas.openxmlformats.org/officeDocument/2006/relationships/hyperlink" Target="https://www.transfermarkt.com/real-madrid-castilla/transfers/verein/6767/saison_id/2023" TargetMode="External"/><Relationship Id="rId105" Type="http://schemas.openxmlformats.org/officeDocument/2006/relationships/hyperlink" Target="https://www.transfermarkt.com/real-madrid-castilla/transfers/verein/6767/saison_id/2023" TargetMode="External"/><Relationship Id="rId104" Type="http://schemas.openxmlformats.org/officeDocument/2006/relationships/hyperlink" Target="https://www.transfermarkt.com/real-madrid-castilla/transfers/verein/6767/saison_id/2023" TargetMode="External"/><Relationship Id="rId109" Type="http://schemas.openxmlformats.org/officeDocument/2006/relationships/hyperlink" Target="https://www.transfermarkt.com/real-madrid-castilla/transfers/verein/6767/saison_id/2023" TargetMode="External"/><Relationship Id="rId108" Type="http://schemas.openxmlformats.org/officeDocument/2006/relationships/hyperlink" Target="https://www.transfermarkt.com/real-madrid-castilla/transfers/verein/6767/saison_id/2023" TargetMode="External"/><Relationship Id="rId48" Type="http://schemas.openxmlformats.org/officeDocument/2006/relationships/hyperlink" Target="https://www.transfermarkt.com/real-madrid-castilla/transfers/verein/6767/saison_id/2011" TargetMode="External"/><Relationship Id="rId47" Type="http://schemas.openxmlformats.org/officeDocument/2006/relationships/hyperlink" Target="https://www.transfermarkt.com/real-madrid-castilla/transfers/verein/6767/saison_id/2007" TargetMode="External"/><Relationship Id="rId49" Type="http://schemas.openxmlformats.org/officeDocument/2006/relationships/hyperlink" Target="https://www.transfermarkt.com/real-madrid-castilla/transfers/verein/6767/saison_id/2010" TargetMode="External"/><Relationship Id="rId103" Type="http://schemas.openxmlformats.org/officeDocument/2006/relationships/hyperlink" Target="https://www.transfermarkt.com/real-madrid-castilla/transfers/verein/6767/saison_id/2023" TargetMode="External"/><Relationship Id="rId102" Type="http://schemas.openxmlformats.org/officeDocument/2006/relationships/hyperlink" Target="https://www.transfermarkt.com/real-madrid-castilla/transfers/verein/6767/saison_id/2023" TargetMode="External"/><Relationship Id="rId101" Type="http://schemas.openxmlformats.org/officeDocument/2006/relationships/hyperlink" Target="https://www.transfermarkt.com/real-madrid-castilla/transfers/verein/6767/saison_id/2022" TargetMode="External"/><Relationship Id="rId100" Type="http://schemas.openxmlformats.org/officeDocument/2006/relationships/hyperlink" Target="https://www.transfermarkt.com/real-madrid-castilla/transfers/verein/6767/saison_id/2022" TargetMode="External"/><Relationship Id="rId31" Type="http://schemas.openxmlformats.org/officeDocument/2006/relationships/hyperlink" Target="https://www.relevo.com/futbol/mercado-fichajes/real-madrid-vende-nico-cesc-20240821181501-nt.html" TargetMode="External"/><Relationship Id="rId30" Type="http://schemas.openxmlformats.org/officeDocument/2006/relationships/hyperlink" Target="https://www.relevo.com/futbol/mercado-fichajes/milan-queda-alex-jimenez-20240615114636-nt.html" TargetMode="External"/><Relationship Id="rId33" Type="http://schemas.openxmlformats.org/officeDocument/2006/relationships/hyperlink" Target="https://www.transfermarkt.com/miguel-baeza/transfers/spieler/536290" TargetMode="External"/><Relationship Id="rId32" Type="http://schemas.openxmlformats.org/officeDocument/2006/relationships/hyperlink" Target="https://www.transfermarkt.com/mario-martin/transfers/spieler/709991" TargetMode="External"/><Relationship Id="rId35" Type="http://schemas.openxmlformats.org/officeDocument/2006/relationships/hyperlink" Target="https://www.transfermarkt.com/real-madrid-castilla/transfers/verein/6767/saison_id/2006" TargetMode="External"/><Relationship Id="rId34" Type="http://schemas.openxmlformats.org/officeDocument/2006/relationships/hyperlink" Target="https://www.transfermarkt.com/real-madrid-castilla/transfers/verein/6767/saison_id/2007" TargetMode="External"/><Relationship Id="rId37" Type="http://schemas.openxmlformats.org/officeDocument/2006/relationships/hyperlink" Target="https://www.transfermarkt.com/real-madrid-castilla/transfers/verein/6767/saison_id/2007" TargetMode="External"/><Relationship Id="rId36" Type="http://schemas.openxmlformats.org/officeDocument/2006/relationships/hyperlink" Target="https://www.transfermarkt.com/real-madrid-castilla/transfers/verein/6767/saison_id/2007" TargetMode="External"/><Relationship Id="rId39" Type="http://schemas.openxmlformats.org/officeDocument/2006/relationships/hyperlink" Target="https://www.transfermarkt.com/real-madrid-castilla/transfers/verein/6767/saison_id/2008" TargetMode="External"/><Relationship Id="rId38" Type="http://schemas.openxmlformats.org/officeDocument/2006/relationships/hyperlink" Target="https://www.transfermarkt.com/real-madrid-castilla/transfers/verein/6767/saison_id/2008" TargetMode="External"/><Relationship Id="rId20" Type="http://schemas.openxmlformats.org/officeDocument/2006/relationships/hyperlink" Target="https://www.mundodeportivo.com/futbol/rayo-vallecano/20210713/410516615409/fran-garcia-firma-por-el-rayo-hasta-2025.html" TargetMode="External"/><Relationship Id="rId22" Type="http://schemas.openxmlformats.org/officeDocument/2006/relationships/hyperlink" Target="https://www.mundodeportivo.com/futbol/real-madrid/20220704/1001831949/madrid-saca-buen-pellizco-venta-canterano-serie.html" TargetMode="External"/><Relationship Id="rId21" Type="http://schemas.openxmlformats.org/officeDocument/2006/relationships/hyperlink" Target="https://www.relevo.com/futbol/liga-primera/viaje-miguel-gutierrez-vuelta-20221028182012-nt.html" TargetMode="External"/><Relationship Id="rId24" Type="http://schemas.openxmlformats.org/officeDocument/2006/relationships/hyperlink" Target="https://www.relevo.com/futbol/liga-primera/gesto-fichaje-arribas-almeria-contratazo-20230807150940-nt.html" TargetMode="External"/><Relationship Id="rId23" Type="http://schemas.openxmlformats.org/officeDocument/2006/relationships/hyperlink" Target="https://www.realmadrid.com/es-ES/noticias/club/comunicados/comunicado-oficial-antonio-blanco-25-07-2023" TargetMode="External"/><Relationship Id="rId129" Type="http://schemas.openxmlformats.org/officeDocument/2006/relationships/hyperlink" Target="https://www.transfermarkt.com/real-madrid-castilla/transfers/verein/6767/saison_id/2020" TargetMode="External"/><Relationship Id="rId128" Type="http://schemas.openxmlformats.org/officeDocument/2006/relationships/hyperlink" Target="https://www.transfermarkt.com/real-madrid-castilla/transfers/verein/6767/saison_id/2021" TargetMode="External"/><Relationship Id="rId127" Type="http://schemas.openxmlformats.org/officeDocument/2006/relationships/hyperlink" Target="https://www.transfermarkt.com/real-madrid-castilla/transfers/verein/6767/saison_id/2024" TargetMode="External"/><Relationship Id="rId126" Type="http://schemas.openxmlformats.org/officeDocument/2006/relationships/hyperlink" Target="https://www.transfermarkt.com/real-madrid-castilla/transfers/verein/6767/saison_id/2024" TargetMode="External"/><Relationship Id="rId26" Type="http://schemas.openxmlformats.org/officeDocument/2006/relationships/hyperlink" Target="https://www.realmadrid.com/es-ES/noticias/club/comunicados/comunicado-oficial-latasa-14-08-2024" TargetMode="External"/><Relationship Id="rId121" Type="http://schemas.openxmlformats.org/officeDocument/2006/relationships/hyperlink" Target="https://www.transfermarkt.com/real-madrid-castilla/transfers/verein/6767/saison_id/2024" TargetMode="External"/><Relationship Id="rId25" Type="http://schemas.openxmlformats.org/officeDocument/2006/relationships/hyperlink" Target="https://www.transfermarkt.com/carlos-dotor/transfers/spieler/536293" TargetMode="External"/><Relationship Id="rId120" Type="http://schemas.openxmlformats.org/officeDocument/2006/relationships/hyperlink" Target="https://www.transfermarkt.com/real-madrid-castilla/transfers/verein/6767/saison_id/2024" TargetMode="External"/><Relationship Id="rId28" Type="http://schemas.openxmlformats.org/officeDocument/2006/relationships/hyperlink" Target="https://www.transfermarkt.com/marvin-park/transfers/spieler/568454" TargetMode="External"/><Relationship Id="rId27" Type="http://schemas.openxmlformats.org/officeDocument/2006/relationships/hyperlink" Target="https://www.realmadrid.com/es-ES/noticias/club/comunicados/comunicado-oficial-peter-federico-04-07-2024" TargetMode="External"/><Relationship Id="rId125" Type="http://schemas.openxmlformats.org/officeDocument/2006/relationships/hyperlink" Target="https://www.transfermarkt.com/real-madrid-castilla/transfers/verein/6767/saison_id/2024" TargetMode="External"/><Relationship Id="rId29" Type="http://schemas.openxmlformats.org/officeDocument/2006/relationships/hyperlink" Target="https://www.relevo.com/futbol/mercado-fichajes/rafa-marin-napoles-madrid-queda-20240703234327-nt.html" TargetMode="External"/><Relationship Id="rId124" Type="http://schemas.openxmlformats.org/officeDocument/2006/relationships/hyperlink" Target="https://www.transfermarkt.com/real-madrid-castilla/transfers/verein/6767/saison_id/2024" TargetMode="External"/><Relationship Id="rId123" Type="http://schemas.openxmlformats.org/officeDocument/2006/relationships/hyperlink" Target="https://www.transfermarkt.com/real-madrid-castilla/transfers/verein/6767/saison_id/2024" TargetMode="External"/><Relationship Id="rId122" Type="http://schemas.openxmlformats.org/officeDocument/2006/relationships/hyperlink" Target="https://www.transfermarkt.com/real-madrid-castilla/transfers/verein/6767/saison_id/2024" TargetMode="External"/><Relationship Id="rId95" Type="http://schemas.openxmlformats.org/officeDocument/2006/relationships/hyperlink" Target="https://www.transfermarkt.com/real-madrid-castilla/transfers/verein/6767/saison_id/2021" TargetMode="External"/><Relationship Id="rId94" Type="http://schemas.openxmlformats.org/officeDocument/2006/relationships/hyperlink" Target="https://www.transfermarkt.com/real-madrid-castilla/transfers/verein/6767/saison_id/2020" TargetMode="External"/><Relationship Id="rId97" Type="http://schemas.openxmlformats.org/officeDocument/2006/relationships/hyperlink" Target="https://www.transfermarkt.com/real-madrid-castilla/transfers/verein/6767/saison_id/2021" TargetMode="External"/><Relationship Id="rId96" Type="http://schemas.openxmlformats.org/officeDocument/2006/relationships/hyperlink" Target="https://www.transfermarkt.com/real-madrid-castilla/transfers/verein/6767/saison_id/2021" TargetMode="External"/><Relationship Id="rId11" Type="http://schemas.openxmlformats.org/officeDocument/2006/relationships/hyperlink" Target="https://www.transfermarkt.com/joselu/transfers/spieler/81999" TargetMode="External"/><Relationship Id="rId99" Type="http://schemas.openxmlformats.org/officeDocument/2006/relationships/hyperlink" Target="https://www.transfermarkt.com/real-madrid-castilla/transfers/verein/6767/saison_id/2022" TargetMode="External"/><Relationship Id="rId10" Type="http://schemas.openxmlformats.org/officeDocument/2006/relationships/hyperlink" Target="https://www.transfermarkt.com/pablo-sarabia/transfers/spieler/74230" TargetMode="External"/><Relationship Id="rId98" Type="http://schemas.openxmlformats.org/officeDocument/2006/relationships/hyperlink" Target="https://www.transfermarkt.com/real-madrid-castilla/transfers/verein/6767/saison_id/2021" TargetMode="External"/><Relationship Id="rId13" Type="http://schemas.openxmlformats.org/officeDocument/2006/relationships/hyperlink" Target="https://www.rtve.es/deportes/20160808/real-madrid-hace-oficial-traspaso-jese-rodriguez-psg/1380841.shtml" TargetMode="External"/><Relationship Id="rId12" Type="http://schemas.openxmlformats.org/officeDocument/2006/relationships/hyperlink" Target="https://www.nbcsports.com/soccer/news/alvaro-morata-joins-juventus-from-real-madrid" TargetMode="External"/><Relationship Id="rId91" Type="http://schemas.openxmlformats.org/officeDocument/2006/relationships/hyperlink" Target="https://www.transfermarkt.com/real-madrid-castilla/transfers/verein/6767/saison_id/2020" TargetMode="External"/><Relationship Id="rId90" Type="http://schemas.openxmlformats.org/officeDocument/2006/relationships/hyperlink" Target="https://www.transfermarkt.com/real-madrid-castilla/transfers/verein/6767/saison_id/2022" TargetMode="External"/><Relationship Id="rId93" Type="http://schemas.openxmlformats.org/officeDocument/2006/relationships/hyperlink" Target="https://www.transfermarkt.com/real-madrid-castilla/transfers/verein/6767/saison_id/2020" TargetMode="External"/><Relationship Id="rId92" Type="http://schemas.openxmlformats.org/officeDocument/2006/relationships/hyperlink" Target="https://www.transfermarkt.com/real-madrid-castilla/transfers/verein/6767/saison_id/2020" TargetMode="External"/><Relationship Id="rId118" Type="http://schemas.openxmlformats.org/officeDocument/2006/relationships/hyperlink" Target="https://www.transfermarkt.com/real-madrid-castilla/transfers/verein/6767/saison_id/2024" TargetMode="External"/><Relationship Id="rId117" Type="http://schemas.openxmlformats.org/officeDocument/2006/relationships/hyperlink" Target="https://www.transfermarkt.com/real-madrid-castilla/transfers/verein/6767/saison_id/2025" TargetMode="External"/><Relationship Id="rId116" Type="http://schemas.openxmlformats.org/officeDocument/2006/relationships/hyperlink" Target="https://www.transfermarkt.com/real-madrid-castilla/transfers/verein/6767/saison_id/2025" TargetMode="External"/><Relationship Id="rId115" Type="http://schemas.openxmlformats.org/officeDocument/2006/relationships/hyperlink" Target="https://www.transfermarkt.com/real-madrid-castilla/transfers/verein/6767/saison_id/2025" TargetMode="External"/><Relationship Id="rId119" Type="http://schemas.openxmlformats.org/officeDocument/2006/relationships/hyperlink" Target="https://www.transfermarkt.com/real-madrid-castilla/transfers/verein/6767/saison_id/2025" TargetMode="External"/><Relationship Id="rId15" Type="http://schemas.openxmlformats.org/officeDocument/2006/relationships/hyperlink" Target="https://www.realmadrid.com/es-ES/noticias/club/comunicados/comunicado-oficial-marcos-llorente-20-06-2019" TargetMode="External"/><Relationship Id="rId110" Type="http://schemas.openxmlformats.org/officeDocument/2006/relationships/hyperlink" Target="https://www.transfermarkt.com/real-madrid-castilla/transfers/verein/6767/saison_id/2023" TargetMode="External"/><Relationship Id="rId14" Type="http://schemas.openxmlformats.org/officeDocument/2006/relationships/hyperlink" Target="https://en.as.com/en/2018/08/29/soccer/1535566126_578615.html" TargetMode="External"/><Relationship Id="rId17" Type="http://schemas.openxmlformats.org/officeDocument/2006/relationships/hyperlink" Target="https://uk.investing.com/news/general/inter-reach-agreement-to-sign-hakimi-from-real-madrid-2154298" TargetMode="External"/><Relationship Id="rId16" Type="http://schemas.openxmlformats.org/officeDocument/2006/relationships/hyperlink" Target="https://www.transfermarkt.com/raul-de-tomas/transfers/spieler/206968" TargetMode="External"/><Relationship Id="rId19" Type="http://schemas.openxmlformats.org/officeDocument/2006/relationships/hyperlink" Target="https://www.realtotal.de/en/oscar-wechsel-zum-fc-sevilla-perfekt/" TargetMode="External"/><Relationship Id="rId114" Type="http://schemas.openxmlformats.org/officeDocument/2006/relationships/hyperlink" Target="https://www.transfermarkt.com/real-madrid-castilla/transfers/verein/6767/saison_id/2025" TargetMode="External"/><Relationship Id="rId18" Type="http://schemas.openxmlformats.org/officeDocument/2006/relationships/hyperlink" Target="https://en.as.com/en/2020/09/16/soccer/1600251928_757594.html" TargetMode="External"/><Relationship Id="rId113" Type="http://schemas.openxmlformats.org/officeDocument/2006/relationships/hyperlink" Target="https://www.transfermarkt.com/real-madrid-castilla/transfers/verein/6767/saison_id/2025" TargetMode="External"/><Relationship Id="rId112" Type="http://schemas.openxmlformats.org/officeDocument/2006/relationships/hyperlink" Target="https://www.transfermarkt.com/real-madrid-castilla/transfers/verein/6767/saison_id/2025" TargetMode="External"/><Relationship Id="rId111" Type="http://schemas.openxmlformats.org/officeDocument/2006/relationships/hyperlink" Target="https://www.transfermarkt.com/real-madrid-castilla/transfers/verein/6767/saison_id/2024" TargetMode="External"/><Relationship Id="rId84" Type="http://schemas.openxmlformats.org/officeDocument/2006/relationships/hyperlink" Target="https://www.transfermarkt.com/real-madrid-castilla/transfers/verein/6767/saison_id/2020" TargetMode="External"/><Relationship Id="rId83" Type="http://schemas.openxmlformats.org/officeDocument/2006/relationships/hyperlink" Target="https://www.transfermarkt.com/real-madrid-castilla/transfers/verein/6767/saison_id/2020" TargetMode="External"/><Relationship Id="rId86" Type="http://schemas.openxmlformats.org/officeDocument/2006/relationships/hyperlink" Target="https://www.transfermarkt.com/real-madrid-castilla/transfers/verein/6767/saison_id/2020" TargetMode="External"/><Relationship Id="rId85" Type="http://schemas.openxmlformats.org/officeDocument/2006/relationships/hyperlink" Target="https://www.transfermarkt.com/real-madrid-castilla/transfers/verein/6767/saison_id/2021" TargetMode="External"/><Relationship Id="rId88" Type="http://schemas.openxmlformats.org/officeDocument/2006/relationships/hyperlink" Target="https://www.transfermarkt.com/real-madrid-castilla/transfers/verein/6767/saison_id/2019" TargetMode="External"/><Relationship Id="rId87" Type="http://schemas.openxmlformats.org/officeDocument/2006/relationships/hyperlink" Target="https://www.transfermarkt.com/real-madrid-castilla/transfers/verein/6767/saison_id/2020" TargetMode="External"/><Relationship Id="rId89" Type="http://schemas.openxmlformats.org/officeDocument/2006/relationships/hyperlink" Target="https://www.transfermarkt.com/real-madrid-castilla/transfers/verein/6767/saison_id/2022" TargetMode="External"/><Relationship Id="rId80" Type="http://schemas.openxmlformats.org/officeDocument/2006/relationships/hyperlink" Target="https://www.transfermarkt.com/real-madrid-castilla/transfers/verein/6767/saison_id/2019" TargetMode="External"/><Relationship Id="rId82" Type="http://schemas.openxmlformats.org/officeDocument/2006/relationships/hyperlink" Target="https://www.transfermarkt.com/real-madrid-castilla/transfers/verein/6767/saison_id/2020" TargetMode="External"/><Relationship Id="rId81" Type="http://schemas.openxmlformats.org/officeDocument/2006/relationships/hyperlink" Target="https://www.transfermarkt.com/real-madrid-castilla/transfers/verein/6767/saison_id/2019" TargetMode="External"/><Relationship Id="rId1" Type="http://schemas.openxmlformats.org/officeDocument/2006/relationships/hyperlink" Target="https://www.uefa.com/news-media/news/01cf-0f84e103e15d-07b4863d3d03-1000--soldado-set-to-seal-getafe-switch/" TargetMode="External"/><Relationship Id="rId2" Type="http://schemas.openxmlformats.org/officeDocument/2006/relationships/hyperlink" Target="https://as.com/futbol/2009/07/27/mas_futbol/1248645630_850215.html" TargetMode="External"/><Relationship Id="rId3" Type="http://schemas.openxmlformats.org/officeDocument/2006/relationships/hyperlink" Target="https://www.relevo.com/futbol/liga-primera/formula-cedidos-funciona-ventas-recompra-20221223100551-nt.html" TargetMode="External"/><Relationship Id="rId4" Type="http://schemas.openxmlformats.org/officeDocument/2006/relationships/hyperlink" Target="https://www.skysports.com/football/news/3814810/getafe-sign-granero" TargetMode="External"/><Relationship Id="rId9" Type="http://schemas.openxmlformats.org/officeDocument/2006/relationships/hyperlink" Target="https://www.uefa.com/uefachampionsleague/news/0250-0c5101575c8f-e8cc021f4c61-1000--carvajal-returns-to-madrid-from-leverkusen/" TargetMode="External"/><Relationship Id="rId5" Type="http://schemas.openxmlformats.org/officeDocument/2006/relationships/hyperlink" Target="https://www.relevo.com/futbol/liga-primera/formula-cedidos-funciona-ventas-recompra-20221223100551-nt.html" TargetMode="External"/><Relationship Id="rId6" Type="http://schemas.openxmlformats.org/officeDocument/2006/relationships/hyperlink" Target="https://www.transfermarkt.com/borja-valero/transfers/spieler/40372" TargetMode="External"/><Relationship Id="rId7" Type="http://schemas.openxmlformats.org/officeDocument/2006/relationships/hyperlink" Target="https://www.transfermarkt.com/juan-mata/transfers/spieler/44068" TargetMode="External"/><Relationship Id="rId8" Type="http://schemas.openxmlformats.org/officeDocument/2006/relationships/hyperlink" Target="https://www.transfermarkt.com/jose-callejon/transfers/spieler/25927" TargetMode="External"/><Relationship Id="rId73" Type="http://schemas.openxmlformats.org/officeDocument/2006/relationships/hyperlink" Target="https://www.transfermarkt.com/real-madrid-castilla/transfers/verein/6767/saison_id/2015" TargetMode="External"/><Relationship Id="rId72" Type="http://schemas.openxmlformats.org/officeDocument/2006/relationships/hyperlink" Target="https://www.transfermarkt.com/real-madrid-castilla/transfers/verein/6767/saison_id/2016" TargetMode="External"/><Relationship Id="rId75" Type="http://schemas.openxmlformats.org/officeDocument/2006/relationships/hyperlink" Target="https://www.transfermarkt.com/real-madrid-castilla/transfers/verein/6767/saison_id/2017" TargetMode="External"/><Relationship Id="rId74" Type="http://schemas.openxmlformats.org/officeDocument/2006/relationships/hyperlink" Target="https://www.transfermarkt.com/real-madrid-castilla/transfers/verein/6767/saison_id/2017" TargetMode="External"/><Relationship Id="rId77" Type="http://schemas.openxmlformats.org/officeDocument/2006/relationships/hyperlink" Target="https://www.transfermarkt.com/real-madrid-castilla/transfers/verein/6767/saison_id/2017" TargetMode="External"/><Relationship Id="rId76" Type="http://schemas.openxmlformats.org/officeDocument/2006/relationships/hyperlink" Target="https://www.transfermarkt.com/real-madrid-castilla/transfers/verein/6767/saison_id/2016" TargetMode="External"/><Relationship Id="rId79" Type="http://schemas.openxmlformats.org/officeDocument/2006/relationships/hyperlink" Target="https://www.transfermarkt.com/real-madrid-castilla/transfers/verein/6767/saison_id/2017" TargetMode="External"/><Relationship Id="rId78" Type="http://schemas.openxmlformats.org/officeDocument/2006/relationships/hyperlink" Target="https://www.transfermarkt.com/real-madrid-castilla/transfers/verein/6767/saison_id/2018" TargetMode="External"/><Relationship Id="rId71" Type="http://schemas.openxmlformats.org/officeDocument/2006/relationships/hyperlink" Target="https://www.transfermarkt.com/real-madrid-castilla/transfers/verein/6767/saison_id/2013" TargetMode="External"/><Relationship Id="rId70" Type="http://schemas.openxmlformats.org/officeDocument/2006/relationships/hyperlink" Target="https://www.transfermarkt.com/real-madrid-castilla/transfers/verein/6767/saison_id/2012" TargetMode="External"/><Relationship Id="rId138" Type="http://schemas.openxmlformats.org/officeDocument/2006/relationships/drawing" Target="../drawings/drawing1.xml"/><Relationship Id="rId137" Type="http://schemas.openxmlformats.org/officeDocument/2006/relationships/hyperlink" Target="https://www.transfermarkt.com/real-madrid-castilla/transfers/verein/6767/saison_id/2026" TargetMode="External"/><Relationship Id="rId132" Type="http://schemas.openxmlformats.org/officeDocument/2006/relationships/hyperlink" Target="https://www.transfermarkt.com/real-madrid-castilla/transfers/verein/6767/saison_id/2022" TargetMode="External"/><Relationship Id="rId131" Type="http://schemas.openxmlformats.org/officeDocument/2006/relationships/hyperlink" Target="https://www.transfermarkt.com/real-madrid-castilla/transfers/verein/6767/saison_id/2021" TargetMode="External"/><Relationship Id="rId130" Type="http://schemas.openxmlformats.org/officeDocument/2006/relationships/hyperlink" Target="https://www.transfermarkt.com/real-madrid-castilla/transfers/verein/6767/saison_id/2020" TargetMode="External"/><Relationship Id="rId136" Type="http://schemas.openxmlformats.org/officeDocument/2006/relationships/hyperlink" Target="https://www.transfermarkt.com/real-madrid-castilla/transfers/verein/6767/saison_id/2024" TargetMode="External"/><Relationship Id="rId135" Type="http://schemas.openxmlformats.org/officeDocument/2006/relationships/hyperlink" Target="https://www.transfermarkt.com/real-madrid-castilla/transfers/verein/6767/saison_id/2025" TargetMode="External"/><Relationship Id="rId134" Type="http://schemas.openxmlformats.org/officeDocument/2006/relationships/hyperlink" Target="https://www.transfermarkt.com/real-madrid-castilla/transfers/verein/6767/saison_id/2022" TargetMode="External"/><Relationship Id="rId133" Type="http://schemas.openxmlformats.org/officeDocument/2006/relationships/hyperlink" Target="https://www.transfermarkt.com/real-madrid-castilla/transfers/verein/6767/saison_id/2022" TargetMode="External"/><Relationship Id="rId62" Type="http://schemas.openxmlformats.org/officeDocument/2006/relationships/hyperlink" Target="https://www.transfermarkt.com/real-madrid-castilla/transfers/verein/6767/saison_id/2013" TargetMode="External"/><Relationship Id="rId61" Type="http://schemas.openxmlformats.org/officeDocument/2006/relationships/hyperlink" Target="https://www.transfermarkt.com/real-madrid-castilla/transfers/verein/6767/saison_id/2013" TargetMode="External"/><Relationship Id="rId64" Type="http://schemas.openxmlformats.org/officeDocument/2006/relationships/hyperlink" Target="https://www.transfermarkt.com/real-madrid-castilla/transfers/verein/6767/saison_id/2014" TargetMode="External"/><Relationship Id="rId63" Type="http://schemas.openxmlformats.org/officeDocument/2006/relationships/hyperlink" Target="https://www.transfermarkt.com/real-madrid-castilla/transfers/verein/6767/saison_id/2016" TargetMode="External"/><Relationship Id="rId66" Type="http://schemas.openxmlformats.org/officeDocument/2006/relationships/hyperlink" Target="https://www.transfermarkt.com/real-madrid-castilla/transfers/verein/6767/saison_id/2014" TargetMode="External"/><Relationship Id="rId65" Type="http://schemas.openxmlformats.org/officeDocument/2006/relationships/hyperlink" Target="https://www.transfermarkt.com/real-madrid-castilla/transfers/verein/6767/saison_id/2013" TargetMode="External"/><Relationship Id="rId68" Type="http://schemas.openxmlformats.org/officeDocument/2006/relationships/hyperlink" Target="https://www.transfermarkt.com/real-madrid-castilla/transfers/verein/6767/saison_id/2013" TargetMode="External"/><Relationship Id="rId67" Type="http://schemas.openxmlformats.org/officeDocument/2006/relationships/hyperlink" Target="https://www.transfermarkt.com/real-madrid-castilla/transfers/verein/6767/saison_id/2013" TargetMode="External"/><Relationship Id="rId60" Type="http://schemas.openxmlformats.org/officeDocument/2006/relationships/hyperlink" Target="https://www.transfermarkt.com/real-madrid-castilla/transfers/verein/6767/saison_id/2010" TargetMode="External"/><Relationship Id="rId69" Type="http://schemas.openxmlformats.org/officeDocument/2006/relationships/hyperlink" Target="https://www.transfermarkt.com/real-madrid-castilla/transfers/verein/6767/saison_id/2012" TargetMode="External"/><Relationship Id="rId51" Type="http://schemas.openxmlformats.org/officeDocument/2006/relationships/hyperlink" Target="https://www.transfermarkt.com/real-madrid-castilla/transfers/verein/6767/saison_id/2011" TargetMode="External"/><Relationship Id="rId50" Type="http://schemas.openxmlformats.org/officeDocument/2006/relationships/hyperlink" Target="https://www.transfermarkt.com/real-madrid-castilla/transfers/verein/6767/saison_id/2010" TargetMode="External"/><Relationship Id="rId53" Type="http://schemas.openxmlformats.org/officeDocument/2006/relationships/hyperlink" Target="https://www.transfermarkt.com/real-madrid-castilla/transfers/verein/6767/saison_id/2011" TargetMode="External"/><Relationship Id="rId52" Type="http://schemas.openxmlformats.org/officeDocument/2006/relationships/hyperlink" Target="https://www.transfermarkt.com/real-madrid-castilla/transfers/verein/6767/saison_id/2011" TargetMode="External"/><Relationship Id="rId55" Type="http://schemas.openxmlformats.org/officeDocument/2006/relationships/hyperlink" Target="https://www.transfermarkt.com/real-madrid-castilla/transfers/verein/6767/saison_id/2011" TargetMode="External"/><Relationship Id="rId54" Type="http://schemas.openxmlformats.org/officeDocument/2006/relationships/hyperlink" Target="https://www.transfermarkt.com/real-madrid-castilla/transfers/verein/6767/saison_id/2011" TargetMode="External"/><Relationship Id="rId57" Type="http://schemas.openxmlformats.org/officeDocument/2006/relationships/hyperlink" Target="https://www.transfermarkt.com/real-madrid-castilla/transfers/verein/6767/saison_id/2011" TargetMode="External"/><Relationship Id="rId56" Type="http://schemas.openxmlformats.org/officeDocument/2006/relationships/hyperlink" Target="https://www.transfermarkt.com/real-madrid-castilla/transfers/verein/6767/saison_id/2010" TargetMode="External"/><Relationship Id="rId59" Type="http://schemas.openxmlformats.org/officeDocument/2006/relationships/hyperlink" Target="https://www.transfermarkt.com/real-madrid-castilla/transfers/verein/6767/saison_id/2013" TargetMode="External"/><Relationship Id="rId58" Type="http://schemas.openxmlformats.org/officeDocument/2006/relationships/hyperlink" Target="https://www.transfermarkt.com/real-madrid-castilla/transfers/verein/6767/saison_id/201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ransfermarkt.com/real-madrid-castilla/transfers/verein/6767/saison_id/2012" TargetMode="External"/><Relationship Id="rId42" Type="http://schemas.openxmlformats.org/officeDocument/2006/relationships/hyperlink" Target="https://www.transfermarkt.com/real-madrid-castilla/transfers/verein/6767/saison_id/2014" TargetMode="External"/><Relationship Id="rId41" Type="http://schemas.openxmlformats.org/officeDocument/2006/relationships/hyperlink" Target="https://www.transfermarkt.com/real-madrid-castilla/transfers/verein/6767/saison_id/2013" TargetMode="External"/><Relationship Id="rId44" Type="http://schemas.openxmlformats.org/officeDocument/2006/relationships/hyperlink" Target="https://www.transfermarkt.com/real-madrid-castilla/transfers/verein/6767/saison_id/2016" TargetMode="External"/><Relationship Id="rId43" Type="http://schemas.openxmlformats.org/officeDocument/2006/relationships/hyperlink" Target="https://www.transfermarkt.com/real-madrid-castilla/transfers/verein/6767/saison_id/2015" TargetMode="External"/><Relationship Id="rId46" Type="http://schemas.openxmlformats.org/officeDocument/2006/relationships/hyperlink" Target="https://www.transfermarkt.com/real-madrid-castilla/transfers/verein/6767/saison_id/2018" TargetMode="External"/><Relationship Id="rId45" Type="http://schemas.openxmlformats.org/officeDocument/2006/relationships/hyperlink" Target="https://www.transfermarkt.com/real-madrid-castilla/transfers/verein/6767/saison_id/2017" TargetMode="External"/><Relationship Id="rId48" Type="http://schemas.openxmlformats.org/officeDocument/2006/relationships/hyperlink" Target="https://www.transfermarkt.com/real-madrid-castilla/transfers/verein/6767/saison_id/2020" TargetMode="External"/><Relationship Id="rId47" Type="http://schemas.openxmlformats.org/officeDocument/2006/relationships/hyperlink" Target="https://www.transfermarkt.com/real-madrid-castilla/transfers/verein/6767/saison_id/2019" TargetMode="External"/><Relationship Id="rId49" Type="http://schemas.openxmlformats.org/officeDocument/2006/relationships/hyperlink" Target="https://www.transfermarkt.com/real-madrid-castilla/transfers/verein/6767/saison_id/2021" TargetMode="External"/><Relationship Id="rId31" Type="http://schemas.openxmlformats.org/officeDocument/2006/relationships/hyperlink" Target="https://www.relevo.com/futbol/mercado-fichajes/real-madrid-vende-nico-cesc-20240821181501-nt.html" TargetMode="External"/><Relationship Id="rId30" Type="http://schemas.openxmlformats.org/officeDocument/2006/relationships/hyperlink" Target="https://www.relevo.com/futbol/mercado-fichajes/milan-queda-alex-jimenez-20240615114636-nt.html" TargetMode="External"/><Relationship Id="rId33" Type="http://schemas.openxmlformats.org/officeDocument/2006/relationships/hyperlink" Target="https://www.transfermarkt.com/miguel-baeza/transfers/spieler/536290" TargetMode="External"/><Relationship Id="rId32" Type="http://schemas.openxmlformats.org/officeDocument/2006/relationships/hyperlink" Target="https://www.transfermarkt.com/mario-martin/transfers/spieler/709991" TargetMode="External"/><Relationship Id="rId35" Type="http://schemas.openxmlformats.org/officeDocument/2006/relationships/hyperlink" Target="https://www.transfermarkt.com/real-madrid-castilla/transfers/verein/6767/saison_id/2007" TargetMode="External"/><Relationship Id="rId34" Type="http://schemas.openxmlformats.org/officeDocument/2006/relationships/hyperlink" Target="https://www.transfermarkt.com/real-madrid-castilla/transfers/verein/6767/saison_id/2006" TargetMode="External"/><Relationship Id="rId37" Type="http://schemas.openxmlformats.org/officeDocument/2006/relationships/hyperlink" Target="https://www.transfermarkt.com/real-madrid-castilla/transfers/verein/6767/saison_id/2009" TargetMode="External"/><Relationship Id="rId36" Type="http://schemas.openxmlformats.org/officeDocument/2006/relationships/hyperlink" Target="https://www.transfermarkt.com/real-madrid-castilla/transfers/verein/6767/saison_id/2008" TargetMode="External"/><Relationship Id="rId39" Type="http://schemas.openxmlformats.org/officeDocument/2006/relationships/hyperlink" Target="https://www.transfermarkt.com/real-madrid-castilla/transfers/verein/6767/saison_id/2011" TargetMode="External"/><Relationship Id="rId38" Type="http://schemas.openxmlformats.org/officeDocument/2006/relationships/hyperlink" Target="https://www.transfermarkt.com/real-madrid-castilla/transfers/verein/6767/saison_id/2010" TargetMode="External"/><Relationship Id="rId20" Type="http://schemas.openxmlformats.org/officeDocument/2006/relationships/hyperlink" Target="https://www.mundodeportivo.com/futbol/rayo-vallecano/20210713/410516615409/fran-garcia-firma-por-el-rayo-hasta-2025.html" TargetMode="External"/><Relationship Id="rId22" Type="http://schemas.openxmlformats.org/officeDocument/2006/relationships/hyperlink" Target="https://www.mundodeportivo.com/futbol/real-madrid/20220704/1001831949/madrid-saca-buen-pellizco-venta-canterano-serie.html" TargetMode="External"/><Relationship Id="rId21" Type="http://schemas.openxmlformats.org/officeDocument/2006/relationships/hyperlink" Target="https://www.relevo.com/futbol/liga-primera/viaje-miguel-gutierrez-vuelta-20221028182012-nt.html" TargetMode="External"/><Relationship Id="rId24" Type="http://schemas.openxmlformats.org/officeDocument/2006/relationships/hyperlink" Target="https://www.relevo.com/futbol/liga-primera/gesto-fichaje-arribas-almeria-contratazo-20230807150940-nt.html" TargetMode="External"/><Relationship Id="rId23" Type="http://schemas.openxmlformats.org/officeDocument/2006/relationships/hyperlink" Target="https://www.realmadrid.com/es-ES/noticias/club/comunicados/comunicado-oficial-antonio-blanco-25-07-2023" TargetMode="External"/><Relationship Id="rId26" Type="http://schemas.openxmlformats.org/officeDocument/2006/relationships/hyperlink" Target="https://www.realmadrid.com/es-ES/noticias/club/comunicados/comunicado-oficial-latasa-14-08-2024" TargetMode="External"/><Relationship Id="rId25" Type="http://schemas.openxmlformats.org/officeDocument/2006/relationships/hyperlink" Target="https://www.transfermarkt.com/carlos-dotor/transfers/spieler/536293" TargetMode="External"/><Relationship Id="rId28" Type="http://schemas.openxmlformats.org/officeDocument/2006/relationships/hyperlink" Target="https://www.transfermarkt.com/marvin-park/transfers/spieler/568454" TargetMode="External"/><Relationship Id="rId27" Type="http://schemas.openxmlformats.org/officeDocument/2006/relationships/hyperlink" Target="https://www.realmadrid.com/es-ES/noticias/club/comunicados/comunicado-oficial-peter-federico-04-07-2024" TargetMode="External"/><Relationship Id="rId29" Type="http://schemas.openxmlformats.org/officeDocument/2006/relationships/hyperlink" Target="https://www.relevo.com/futbol/mercado-fichajes/rafa-marin-napoles-madrid-queda-20240703234327-nt.html" TargetMode="External"/><Relationship Id="rId11" Type="http://schemas.openxmlformats.org/officeDocument/2006/relationships/hyperlink" Target="https://www.transfermarkt.com/joselu/transfers/spieler/81999" TargetMode="External"/><Relationship Id="rId10" Type="http://schemas.openxmlformats.org/officeDocument/2006/relationships/hyperlink" Target="https://www.transfermarkt.com/pablo-sarabia/transfers/spieler/74230" TargetMode="External"/><Relationship Id="rId13" Type="http://schemas.openxmlformats.org/officeDocument/2006/relationships/hyperlink" Target="https://www.rtve.es/deportes/20160808/real-madrid-hace-oficial-traspaso-jese-rodriguez-psg/1380841.shtml" TargetMode="External"/><Relationship Id="rId12" Type="http://schemas.openxmlformats.org/officeDocument/2006/relationships/hyperlink" Target="https://www.nbcsports.com/soccer/news/alvaro-morata-joins-juventus-from-real-madrid" TargetMode="External"/><Relationship Id="rId15" Type="http://schemas.openxmlformats.org/officeDocument/2006/relationships/hyperlink" Target="https://www.realmadrid.com/es-ES/noticias/club/comunicados/comunicado-oficial-marcos-llorente-20-06-2019" TargetMode="External"/><Relationship Id="rId14" Type="http://schemas.openxmlformats.org/officeDocument/2006/relationships/hyperlink" Target="https://en.as.com/en/2018/08/29/soccer/1535566126_578615.html" TargetMode="External"/><Relationship Id="rId17" Type="http://schemas.openxmlformats.org/officeDocument/2006/relationships/hyperlink" Target="https://uk.investing.com/news/general/inter-reach-agreement-to-sign-hakimi-from-real-madrid-2154298" TargetMode="External"/><Relationship Id="rId16" Type="http://schemas.openxmlformats.org/officeDocument/2006/relationships/hyperlink" Target="https://www.transfermarkt.com/raul-de-tomas/transfers/spieler/206968" TargetMode="External"/><Relationship Id="rId19" Type="http://schemas.openxmlformats.org/officeDocument/2006/relationships/hyperlink" Target="https://www.realtotal.de/en/oscar-wechsel-zum-fc-sevilla-perfekt/" TargetMode="External"/><Relationship Id="rId18" Type="http://schemas.openxmlformats.org/officeDocument/2006/relationships/hyperlink" Target="https://en.as.com/en/2020/09/16/soccer/1600251928_757594.html" TargetMode="External"/><Relationship Id="rId1" Type="http://schemas.openxmlformats.org/officeDocument/2006/relationships/hyperlink" Target="https://www.uefa.com/news-media/news/01cf-0f84e103e15d-07b4863d3d03-1000--soldado-set-to-seal-getafe-switch/" TargetMode="External"/><Relationship Id="rId2" Type="http://schemas.openxmlformats.org/officeDocument/2006/relationships/hyperlink" Target="https://as.com/futbol/2009/07/27/mas_futbol/1248645630_850215.html" TargetMode="External"/><Relationship Id="rId3" Type="http://schemas.openxmlformats.org/officeDocument/2006/relationships/hyperlink" Target="https://www.relevo.com/futbol/liga-primera/formula-cedidos-funciona-ventas-recompra-20221223100551-nt.html" TargetMode="External"/><Relationship Id="rId4" Type="http://schemas.openxmlformats.org/officeDocument/2006/relationships/hyperlink" Target="https://www.skysports.com/football/news/3814810/getafe-sign-granero" TargetMode="External"/><Relationship Id="rId9" Type="http://schemas.openxmlformats.org/officeDocument/2006/relationships/hyperlink" Target="https://www.uefa.com/uefachampionsleague/news/0250-0c5101575c8f-e8cc021f4c61-1000--carvajal-returns-to-madrid-from-leverkusen/" TargetMode="External"/><Relationship Id="rId5" Type="http://schemas.openxmlformats.org/officeDocument/2006/relationships/hyperlink" Target="https://www.relevo.com/futbol/liga-primera/formula-cedidos-funciona-ventas-recompra-20221223100551-nt.html" TargetMode="External"/><Relationship Id="rId6" Type="http://schemas.openxmlformats.org/officeDocument/2006/relationships/hyperlink" Target="https://www.transfermarkt.com/borja-valero/transfers/spieler/40372" TargetMode="External"/><Relationship Id="rId7" Type="http://schemas.openxmlformats.org/officeDocument/2006/relationships/hyperlink" Target="https://www.transfermarkt.com/juan-mata/transfers/spieler/44068" TargetMode="External"/><Relationship Id="rId8" Type="http://schemas.openxmlformats.org/officeDocument/2006/relationships/hyperlink" Target="https://www.transfermarkt.com/jose-callejon/transfers/spieler/25927" TargetMode="External"/><Relationship Id="rId51" Type="http://schemas.openxmlformats.org/officeDocument/2006/relationships/hyperlink" Target="https://www.transfermarkt.com/real-madrid-castilla/transfers/verein/6767/saison_id/2023" TargetMode="External"/><Relationship Id="rId50" Type="http://schemas.openxmlformats.org/officeDocument/2006/relationships/hyperlink" Target="https://www.transfermarkt.com/real-madrid-castilla/transfers/verein/6767/saison_id/2022" TargetMode="External"/><Relationship Id="rId53" Type="http://schemas.openxmlformats.org/officeDocument/2006/relationships/hyperlink" Target="https://www.transfermarkt.com/real-madrid-castilla/transfers/verein/6767/saison_id/2025" TargetMode="External"/><Relationship Id="rId52" Type="http://schemas.openxmlformats.org/officeDocument/2006/relationships/hyperlink" Target="https://www.transfermarkt.com/real-madrid-castilla/transfers/verein/6767/saison_id/2024" TargetMode="External"/><Relationship Id="rId55" Type="http://schemas.openxmlformats.org/officeDocument/2006/relationships/drawing" Target="../drawings/drawing6.xml"/><Relationship Id="rId54" Type="http://schemas.openxmlformats.org/officeDocument/2006/relationships/hyperlink" Target="https://www.transfermarkt.com/real-madrid-castilla/transfers/verein/6767/saison_id/2026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8.0"/>
    <col customWidth="1" min="3" max="3" width="11.0"/>
    <col customWidth="1" min="4" max="5" width="22.0"/>
    <col customWidth="1" min="6" max="6" width="15.0"/>
    <col customWidth="1" min="7" max="7" width="19.0"/>
    <col customWidth="1" min="8" max="8" width="11.0"/>
    <col customWidth="1" min="9" max="9" width="10.0"/>
    <col customWidth="1" min="10" max="11" width="12.0"/>
    <col customWidth="1" min="12" max="12" width="18.0"/>
    <col customWidth="1" min="13" max="13" width="22.0"/>
    <col customWidth="1" min="14" max="14" width="20.0"/>
    <col customWidth="1" min="15" max="16" width="55.0"/>
    <col customWidth="1" min="17" max="17" width="12.0"/>
    <col customWidth="1" min="18" max="26" width="8.71"/>
  </cols>
  <sheetData>
    <row r="1" ht="33.75" customHeight="1">
      <c r="A1" s="4" t="s">
        <v>3</v>
      </c>
      <c r="B1" s="4" t="s">
        <v>8</v>
      </c>
      <c r="C1" s="4" t="s">
        <v>11</v>
      </c>
      <c r="D1" s="4" t="s">
        <v>4</v>
      </c>
      <c r="E1" s="4" t="s">
        <v>13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24</v>
      </c>
      <c r="L1" s="4" t="s">
        <v>25</v>
      </c>
      <c r="M1" s="4" t="s">
        <v>27</v>
      </c>
      <c r="N1" s="4" t="s">
        <v>29</v>
      </c>
      <c r="O1" s="4" t="s">
        <v>31</v>
      </c>
      <c r="P1" s="4" t="s">
        <v>33</v>
      </c>
      <c r="Q1" s="4" t="s">
        <v>36</v>
      </c>
    </row>
    <row r="2" ht="33.75" customHeight="1">
      <c r="A2" s="11" t="s">
        <v>9</v>
      </c>
      <c r="B2" s="11" t="s">
        <v>37</v>
      </c>
      <c r="C2" s="11">
        <v>2008.0</v>
      </c>
      <c r="D2" s="11" t="s">
        <v>10</v>
      </c>
      <c r="E2" s="11" t="s">
        <v>16</v>
      </c>
      <c r="F2" s="12">
        <v>6.0</v>
      </c>
      <c r="G2" s="14"/>
      <c r="H2" s="11" t="s">
        <v>42</v>
      </c>
      <c r="I2" s="11" t="s">
        <v>45</v>
      </c>
      <c r="J2" s="14"/>
      <c r="K2" s="11" t="s">
        <v>45</v>
      </c>
      <c r="L2" s="12"/>
      <c r="M2" s="18">
        <f t="shared" ref="M2:M34" si="1">F2-IF(K2="Yes",IF(L2="",0,L2),0)</f>
        <v>6</v>
      </c>
      <c r="N2" s="20">
        <f t="shared" ref="N2:N34" si="2">IF(G2&gt;0,1,0)+IF(H2="Yes",1,0)+IF(I2="Yes",1,0)+IF(J2&gt;0,1,0)</f>
        <v>1</v>
      </c>
      <c r="O2" s="21" t="s">
        <v>78</v>
      </c>
      <c r="P2" s="24" t="s">
        <v>81</v>
      </c>
      <c r="Q2" s="25" t="s">
        <v>94</v>
      </c>
    </row>
    <row r="3" ht="33.75" customHeight="1">
      <c r="A3" s="11" t="s">
        <v>38</v>
      </c>
      <c r="B3" s="11" t="s">
        <v>97</v>
      </c>
      <c r="C3" s="11">
        <v>2009.0</v>
      </c>
      <c r="D3" s="11" t="s">
        <v>39</v>
      </c>
      <c r="E3" s="11" t="s">
        <v>16</v>
      </c>
      <c r="F3" s="12">
        <v>7.0</v>
      </c>
      <c r="G3" s="14"/>
      <c r="H3" s="11" t="s">
        <v>45</v>
      </c>
      <c r="I3" s="11" t="s">
        <v>45</v>
      </c>
      <c r="J3" s="14"/>
      <c r="K3" s="11" t="s">
        <v>45</v>
      </c>
      <c r="L3" s="12"/>
      <c r="M3" s="18">
        <f t="shared" si="1"/>
        <v>7</v>
      </c>
      <c r="N3" s="20">
        <f t="shared" si="2"/>
        <v>0</v>
      </c>
      <c r="O3" s="21" t="s">
        <v>108</v>
      </c>
      <c r="P3" s="24" t="s">
        <v>110</v>
      </c>
      <c r="Q3" s="25" t="s">
        <v>94</v>
      </c>
    </row>
    <row r="4" ht="33.75" customHeight="1">
      <c r="A4" s="11" t="s">
        <v>53</v>
      </c>
      <c r="B4" s="11" t="s">
        <v>37</v>
      </c>
      <c r="C4" s="11">
        <v>2009.0</v>
      </c>
      <c r="D4" s="11" t="s">
        <v>54</v>
      </c>
      <c r="E4" s="11" t="s">
        <v>22</v>
      </c>
      <c r="F4" s="12">
        <v>15.0</v>
      </c>
      <c r="G4" s="14"/>
      <c r="H4" s="11" t="s">
        <v>42</v>
      </c>
      <c r="I4" s="11" t="s">
        <v>45</v>
      </c>
      <c r="J4" s="14"/>
      <c r="K4" s="11" t="s">
        <v>42</v>
      </c>
      <c r="L4" s="12">
        <v>5.0</v>
      </c>
      <c r="M4" s="18">
        <f t="shared" si="1"/>
        <v>10</v>
      </c>
      <c r="N4" s="20">
        <f t="shared" si="2"/>
        <v>1</v>
      </c>
      <c r="O4" s="21" t="s">
        <v>123</v>
      </c>
      <c r="P4" s="24" t="s">
        <v>124</v>
      </c>
      <c r="Q4" s="25" t="s">
        <v>94</v>
      </c>
    </row>
    <row r="5" ht="33.75" customHeight="1">
      <c r="A5" s="11" t="s">
        <v>60</v>
      </c>
      <c r="B5" s="11" t="s">
        <v>97</v>
      </c>
      <c r="C5" s="11">
        <v>2008.0</v>
      </c>
      <c r="D5" s="11" t="s">
        <v>10</v>
      </c>
      <c r="E5" s="11" t="s">
        <v>22</v>
      </c>
      <c r="F5" s="12">
        <v>3.0</v>
      </c>
      <c r="G5" s="14"/>
      <c r="H5" s="11" t="s">
        <v>42</v>
      </c>
      <c r="I5" s="11" t="s">
        <v>45</v>
      </c>
      <c r="J5" s="14"/>
      <c r="K5" s="11" t="s">
        <v>42</v>
      </c>
      <c r="L5" s="12">
        <v>4.0</v>
      </c>
      <c r="M5" s="18">
        <f t="shared" si="1"/>
        <v>-1</v>
      </c>
      <c r="N5" s="20">
        <f t="shared" si="2"/>
        <v>1</v>
      </c>
      <c r="O5" s="21" t="s">
        <v>135</v>
      </c>
      <c r="P5" s="24" t="s">
        <v>137</v>
      </c>
      <c r="Q5" s="25" t="s">
        <v>94</v>
      </c>
    </row>
    <row r="6" ht="33.75" customHeight="1">
      <c r="A6" s="11" t="s">
        <v>65</v>
      </c>
      <c r="B6" s="11" t="s">
        <v>97</v>
      </c>
      <c r="C6" s="11">
        <v>2009.0</v>
      </c>
      <c r="D6" s="11" t="s">
        <v>10</v>
      </c>
      <c r="E6" s="11" t="s">
        <v>22</v>
      </c>
      <c r="F6" s="12">
        <v>3.0</v>
      </c>
      <c r="G6" s="14"/>
      <c r="H6" s="11" t="s">
        <v>42</v>
      </c>
      <c r="I6" s="11" t="s">
        <v>45</v>
      </c>
      <c r="J6" s="14"/>
      <c r="K6" s="11" t="s">
        <v>45</v>
      </c>
      <c r="L6" s="12"/>
      <c r="M6" s="18">
        <f t="shared" si="1"/>
        <v>3</v>
      </c>
      <c r="N6" s="20">
        <f t="shared" si="2"/>
        <v>1</v>
      </c>
      <c r="O6" s="21" t="s">
        <v>145</v>
      </c>
      <c r="P6" s="24" t="s">
        <v>124</v>
      </c>
      <c r="Q6" s="26" t="s">
        <v>148</v>
      </c>
    </row>
    <row r="7" ht="33.75" customHeight="1">
      <c r="A7" s="11" t="s">
        <v>71</v>
      </c>
      <c r="B7" s="11" t="s">
        <v>97</v>
      </c>
      <c r="C7" s="11">
        <v>2007.0</v>
      </c>
      <c r="D7" s="11" t="s">
        <v>72</v>
      </c>
      <c r="E7" s="11" t="s">
        <v>16</v>
      </c>
      <c r="F7" s="12">
        <v>0.0</v>
      </c>
      <c r="G7" s="14"/>
      <c r="H7" s="11" t="s">
        <v>45</v>
      </c>
      <c r="I7" s="11" t="s">
        <v>45</v>
      </c>
      <c r="J7" s="14"/>
      <c r="K7" s="11" t="s">
        <v>45</v>
      </c>
      <c r="L7" s="12"/>
      <c r="M7" s="18">
        <f t="shared" si="1"/>
        <v>0</v>
      </c>
      <c r="N7" s="20">
        <f t="shared" si="2"/>
        <v>0</v>
      </c>
      <c r="O7" s="21" t="s">
        <v>151</v>
      </c>
      <c r="P7" s="24" t="s">
        <v>152</v>
      </c>
      <c r="Q7" s="26" t="s">
        <v>148</v>
      </c>
    </row>
    <row r="8" ht="33.75" customHeight="1">
      <c r="A8" s="11" t="s">
        <v>77</v>
      </c>
      <c r="B8" s="11" t="s">
        <v>153</v>
      </c>
      <c r="C8" s="11">
        <v>2007.0</v>
      </c>
      <c r="D8" s="11" t="s">
        <v>79</v>
      </c>
      <c r="E8" s="11" t="s">
        <v>82</v>
      </c>
      <c r="F8" s="12">
        <v>0.0</v>
      </c>
      <c r="G8" s="14"/>
      <c r="H8" s="11" t="s">
        <v>45</v>
      </c>
      <c r="I8" s="11" t="s">
        <v>45</v>
      </c>
      <c r="J8" s="14"/>
      <c r="K8" s="11" t="s">
        <v>45</v>
      </c>
      <c r="L8" s="12"/>
      <c r="M8" s="18">
        <f t="shared" si="1"/>
        <v>0</v>
      </c>
      <c r="N8" s="20">
        <f t="shared" si="2"/>
        <v>0</v>
      </c>
      <c r="O8" s="21" t="s">
        <v>156</v>
      </c>
      <c r="P8" s="24" t="s">
        <v>157</v>
      </c>
      <c r="Q8" s="25" t="s">
        <v>94</v>
      </c>
    </row>
    <row r="9" ht="33.75" customHeight="1">
      <c r="A9" s="11" t="s">
        <v>84</v>
      </c>
      <c r="B9" s="11" t="s">
        <v>155</v>
      </c>
      <c r="C9" s="11">
        <v>2008.0</v>
      </c>
      <c r="D9" s="11" t="s">
        <v>85</v>
      </c>
      <c r="E9" s="11" t="s">
        <v>16</v>
      </c>
      <c r="F9" s="12">
        <v>1.2</v>
      </c>
      <c r="G9" s="14"/>
      <c r="H9" s="11" t="s">
        <v>42</v>
      </c>
      <c r="I9" s="11" t="s">
        <v>45</v>
      </c>
      <c r="J9" s="14"/>
      <c r="K9" s="11" t="s">
        <v>42</v>
      </c>
      <c r="L9" s="12">
        <v>5.0</v>
      </c>
      <c r="M9" s="18">
        <f t="shared" si="1"/>
        <v>-3.8</v>
      </c>
      <c r="N9" s="20">
        <f t="shared" si="2"/>
        <v>1</v>
      </c>
      <c r="O9" s="21" t="s">
        <v>161</v>
      </c>
      <c r="P9" s="24" t="s">
        <v>163</v>
      </c>
      <c r="Q9" s="25" t="s">
        <v>94</v>
      </c>
    </row>
    <row r="10" ht="33.75" customHeight="1">
      <c r="A10" s="11" t="s">
        <v>91</v>
      </c>
      <c r="B10" s="11" t="s">
        <v>160</v>
      </c>
      <c r="C10" s="11">
        <v>2012.0</v>
      </c>
      <c r="D10" s="11" t="s">
        <v>92</v>
      </c>
      <c r="E10" s="11" t="s">
        <v>22</v>
      </c>
      <c r="F10" s="12">
        <v>5.0</v>
      </c>
      <c r="G10" s="14"/>
      <c r="H10" s="11" t="s">
        <v>42</v>
      </c>
      <c r="I10" s="11" t="s">
        <v>45</v>
      </c>
      <c r="J10" s="14"/>
      <c r="K10" s="11" t="s">
        <v>42</v>
      </c>
      <c r="L10" s="12">
        <v>6.5</v>
      </c>
      <c r="M10" s="18">
        <f t="shared" si="1"/>
        <v>-1.5</v>
      </c>
      <c r="N10" s="20">
        <f t="shared" si="2"/>
        <v>1</v>
      </c>
      <c r="O10" s="21" t="s">
        <v>169</v>
      </c>
      <c r="P10" s="24" t="s">
        <v>171</v>
      </c>
      <c r="Q10" s="30" t="s">
        <v>175</v>
      </c>
    </row>
    <row r="11" ht="33.75" customHeight="1">
      <c r="A11" s="11" t="s">
        <v>93</v>
      </c>
      <c r="B11" s="11" t="s">
        <v>153</v>
      </c>
      <c r="C11" s="11">
        <v>2011.0</v>
      </c>
      <c r="D11" s="11" t="s">
        <v>10</v>
      </c>
      <c r="E11" s="11" t="s">
        <v>16</v>
      </c>
      <c r="F11" s="12">
        <v>3.0</v>
      </c>
      <c r="G11" s="14"/>
      <c r="H11" s="11" t="s">
        <v>42</v>
      </c>
      <c r="I11" s="11" t="s">
        <v>45</v>
      </c>
      <c r="J11" s="14"/>
      <c r="K11" s="11" t="s">
        <v>45</v>
      </c>
      <c r="L11" s="12"/>
      <c r="M11" s="18">
        <f t="shared" si="1"/>
        <v>3</v>
      </c>
      <c r="N11" s="20">
        <f t="shared" si="2"/>
        <v>1</v>
      </c>
      <c r="O11" s="21" t="s">
        <v>176</v>
      </c>
      <c r="P11" s="24" t="s">
        <v>177</v>
      </c>
      <c r="Q11" s="26" t="s">
        <v>148</v>
      </c>
    </row>
    <row r="12" ht="33.75" customHeight="1">
      <c r="A12" s="11" t="s">
        <v>95</v>
      </c>
      <c r="B12" s="11" t="s">
        <v>37</v>
      </c>
      <c r="C12" s="11">
        <v>2012.0</v>
      </c>
      <c r="D12" s="11" t="s">
        <v>96</v>
      </c>
      <c r="E12" s="11" t="s">
        <v>16</v>
      </c>
      <c r="F12" s="12">
        <v>6.0</v>
      </c>
      <c r="G12" s="14"/>
      <c r="H12" s="11" t="s">
        <v>45</v>
      </c>
      <c r="I12" s="11" t="s">
        <v>45</v>
      </c>
      <c r="J12" s="14"/>
      <c r="K12" s="11" t="s">
        <v>45</v>
      </c>
      <c r="L12" s="12"/>
      <c r="M12" s="18">
        <f t="shared" si="1"/>
        <v>6</v>
      </c>
      <c r="N12" s="20">
        <f t="shared" si="2"/>
        <v>0</v>
      </c>
      <c r="O12" s="21" t="s">
        <v>178</v>
      </c>
      <c r="P12" s="24" t="s">
        <v>179</v>
      </c>
      <c r="Q12" s="25" t="s">
        <v>94</v>
      </c>
    </row>
    <row r="13" ht="33.75" customHeight="1">
      <c r="A13" s="11" t="s">
        <v>99</v>
      </c>
      <c r="B13" s="11" t="s">
        <v>37</v>
      </c>
      <c r="C13" s="11">
        <v>2014.0</v>
      </c>
      <c r="D13" s="11" t="s">
        <v>100</v>
      </c>
      <c r="E13" s="11" t="s">
        <v>22</v>
      </c>
      <c r="F13" s="12">
        <v>20.0</v>
      </c>
      <c r="G13" s="14"/>
      <c r="H13" s="11" t="s">
        <v>42</v>
      </c>
      <c r="I13" s="11" t="s">
        <v>45</v>
      </c>
      <c r="J13" s="14"/>
      <c r="K13" s="11" t="s">
        <v>42</v>
      </c>
      <c r="L13" s="12">
        <v>30.0</v>
      </c>
      <c r="M13" s="18">
        <f t="shared" si="1"/>
        <v>-10</v>
      </c>
      <c r="N13" s="20">
        <f t="shared" si="2"/>
        <v>1</v>
      </c>
      <c r="O13" s="21" t="s">
        <v>180</v>
      </c>
      <c r="P13" s="24" t="s">
        <v>181</v>
      </c>
      <c r="Q13" s="30" t="s">
        <v>175</v>
      </c>
    </row>
    <row r="14" ht="33.75" customHeight="1">
      <c r="A14" s="11" t="s">
        <v>101</v>
      </c>
      <c r="B14" s="11" t="s">
        <v>155</v>
      </c>
      <c r="C14" s="11">
        <v>2016.0</v>
      </c>
      <c r="D14" s="11" t="s">
        <v>102</v>
      </c>
      <c r="E14" s="11" t="s">
        <v>16</v>
      </c>
      <c r="F14" s="12">
        <v>25.0</v>
      </c>
      <c r="G14" s="14"/>
      <c r="H14" s="11" t="s">
        <v>45</v>
      </c>
      <c r="I14" s="11" t="s">
        <v>45</v>
      </c>
      <c r="J14" s="14"/>
      <c r="K14" s="11" t="s">
        <v>45</v>
      </c>
      <c r="L14" s="12"/>
      <c r="M14" s="18">
        <f t="shared" si="1"/>
        <v>25</v>
      </c>
      <c r="N14" s="20">
        <f t="shared" si="2"/>
        <v>0</v>
      </c>
      <c r="O14" s="21" t="s">
        <v>182</v>
      </c>
      <c r="P14" s="24" t="s">
        <v>183</v>
      </c>
      <c r="Q14" s="30" t="s">
        <v>175</v>
      </c>
    </row>
    <row r="15" ht="33.75" customHeight="1">
      <c r="A15" s="11" t="s">
        <v>104</v>
      </c>
      <c r="B15" s="11" t="s">
        <v>37</v>
      </c>
      <c r="C15" s="11">
        <v>2017.0</v>
      </c>
      <c r="D15" s="11" t="s">
        <v>105</v>
      </c>
      <c r="E15" s="11" t="s">
        <v>98</v>
      </c>
      <c r="F15" s="12">
        <v>8.0</v>
      </c>
      <c r="G15" s="14"/>
      <c r="H15" s="11" t="s">
        <v>45</v>
      </c>
      <c r="I15" s="11" t="s">
        <v>42</v>
      </c>
      <c r="J15" s="14">
        <v>35.0</v>
      </c>
      <c r="K15" s="11" t="s">
        <v>42</v>
      </c>
      <c r="L15" s="12">
        <v>22.0</v>
      </c>
      <c r="M15" s="18">
        <f t="shared" si="1"/>
        <v>-14</v>
      </c>
      <c r="N15" s="20">
        <f t="shared" si="2"/>
        <v>2</v>
      </c>
      <c r="O15" s="21" t="s">
        <v>184</v>
      </c>
      <c r="P15" s="24" t="s">
        <v>185</v>
      </c>
      <c r="Q15" s="30" t="s">
        <v>175</v>
      </c>
    </row>
    <row r="16" ht="33.75" customHeight="1">
      <c r="A16" s="11" t="s">
        <v>106</v>
      </c>
      <c r="B16" s="11" t="s">
        <v>97</v>
      </c>
      <c r="C16" s="11">
        <v>2019.0</v>
      </c>
      <c r="D16" s="11" t="s">
        <v>107</v>
      </c>
      <c r="E16" s="11" t="s">
        <v>16</v>
      </c>
      <c r="F16" s="12">
        <v>30.0</v>
      </c>
      <c r="G16" s="14"/>
      <c r="H16" s="11" t="s">
        <v>45</v>
      </c>
      <c r="I16" s="11" t="s">
        <v>45</v>
      </c>
      <c r="J16" s="14"/>
      <c r="K16" s="11" t="s">
        <v>45</v>
      </c>
      <c r="L16" s="12"/>
      <c r="M16" s="18">
        <f t="shared" si="1"/>
        <v>30</v>
      </c>
      <c r="N16" s="20">
        <f t="shared" si="2"/>
        <v>0</v>
      </c>
      <c r="O16" s="21" t="s">
        <v>187</v>
      </c>
      <c r="P16" s="24" t="s">
        <v>188</v>
      </c>
      <c r="Q16" s="30" t="s">
        <v>175</v>
      </c>
    </row>
    <row r="17" ht="33.75" customHeight="1">
      <c r="A17" s="11" t="s">
        <v>109</v>
      </c>
      <c r="B17" s="11" t="s">
        <v>37</v>
      </c>
      <c r="C17" s="11">
        <v>2019.0</v>
      </c>
      <c r="D17" s="11" t="s">
        <v>39</v>
      </c>
      <c r="E17" s="11" t="s">
        <v>16</v>
      </c>
      <c r="F17" s="12">
        <v>20.0</v>
      </c>
      <c r="G17" s="14"/>
      <c r="H17" s="11" t="s">
        <v>45</v>
      </c>
      <c r="I17" s="11" t="s">
        <v>45</v>
      </c>
      <c r="J17" s="14"/>
      <c r="K17" s="11" t="s">
        <v>45</v>
      </c>
      <c r="L17" s="12"/>
      <c r="M17" s="18">
        <f t="shared" si="1"/>
        <v>20</v>
      </c>
      <c r="N17" s="20">
        <f t="shared" si="2"/>
        <v>0</v>
      </c>
      <c r="O17" s="21" t="s">
        <v>108</v>
      </c>
      <c r="P17" s="24" t="s">
        <v>190</v>
      </c>
      <c r="Q17" s="25" t="s">
        <v>94</v>
      </c>
    </row>
    <row r="18" ht="33.75" customHeight="1">
      <c r="A18" s="11" t="s">
        <v>111</v>
      </c>
      <c r="B18" s="11" t="s">
        <v>160</v>
      </c>
      <c r="C18" s="11">
        <v>2020.0</v>
      </c>
      <c r="D18" s="11" t="s">
        <v>112</v>
      </c>
      <c r="E18" s="11" t="s">
        <v>16</v>
      </c>
      <c r="F18" s="12">
        <v>40.0</v>
      </c>
      <c r="G18" s="14"/>
      <c r="H18" s="11" t="s">
        <v>45</v>
      </c>
      <c r="I18" s="11" t="s">
        <v>42</v>
      </c>
      <c r="J18" s="14"/>
      <c r="K18" s="11" t="s">
        <v>45</v>
      </c>
      <c r="L18" s="12"/>
      <c r="M18" s="18">
        <f t="shared" si="1"/>
        <v>40</v>
      </c>
      <c r="N18" s="20">
        <f t="shared" si="2"/>
        <v>1</v>
      </c>
      <c r="O18" s="21" t="s">
        <v>191</v>
      </c>
      <c r="P18" s="24" t="s">
        <v>192</v>
      </c>
      <c r="Q18" s="30" t="s">
        <v>175</v>
      </c>
    </row>
    <row r="19" ht="33.75" customHeight="1">
      <c r="A19" s="11" t="s">
        <v>113</v>
      </c>
      <c r="B19" s="11" t="s">
        <v>165</v>
      </c>
      <c r="C19" s="11">
        <v>2020.0</v>
      </c>
      <c r="D19" s="11" t="s">
        <v>115</v>
      </c>
      <c r="E19" s="11" t="s">
        <v>22</v>
      </c>
      <c r="F19" s="12">
        <v>30.0</v>
      </c>
      <c r="G19" s="14"/>
      <c r="H19" s="11" t="s">
        <v>42</v>
      </c>
      <c r="I19" s="11" t="s">
        <v>42</v>
      </c>
      <c r="J19" s="14"/>
      <c r="K19" s="11" t="s">
        <v>45</v>
      </c>
      <c r="L19" s="12"/>
      <c r="M19" s="18">
        <f t="shared" si="1"/>
        <v>30</v>
      </c>
      <c r="N19" s="20">
        <f t="shared" si="2"/>
        <v>2</v>
      </c>
      <c r="O19" s="21" t="s">
        <v>193</v>
      </c>
      <c r="P19" s="24" t="s">
        <v>194</v>
      </c>
      <c r="Q19" s="30" t="s">
        <v>175</v>
      </c>
    </row>
    <row r="20" ht="33.75" customHeight="1">
      <c r="A20" s="11" t="s">
        <v>116</v>
      </c>
      <c r="B20" s="11" t="s">
        <v>153</v>
      </c>
      <c r="C20" s="11">
        <v>2020.0</v>
      </c>
      <c r="D20" s="11" t="s">
        <v>117</v>
      </c>
      <c r="E20" s="11" t="s">
        <v>67</v>
      </c>
      <c r="F20" s="12">
        <v>13.5</v>
      </c>
      <c r="G20" s="14">
        <v>25.0</v>
      </c>
      <c r="H20" s="11" t="s">
        <v>45</v>
      </c>
      <c r="I20" s="11" t="s">
        <v>45</v>
      </c>
      <c r="J20" s="14">
        <v>25.0</v>
      </c>
      <c r="K20" s="11" t="s">
        <v>45</v>
      </c>
      <c r="L20" s="12"/>
      <c r="M20" s="18">
        <f t="shared" si="1"/>
        <v>13.5</v>
      </c>
      <c r="N20" s="20">
        <f t="shared" si="2"/>
        <v>2</v>
      </c>
      <c r="O20" s="21" t="s">
        <v>195</v>
      </c>
      <c r="P20" s="24" t="s">
        <v>196</v>
      </c>
      <c r="Q20" s="25" t="s">
        <v>94</v>
      </c>
    </row>
    <row r="21" ht="33.75" customHeight="1">
      <c r="A21" s="11" t="s">
        <v>118</v>
      </c>
      <c r="B21" s="11" t="s">
        <v>165</v>
      </c>
      <c r="C21" s="11">
        <v>2021.0</v>
      </c>
      <c r="D21" s="11" t="s">
        <v>119</v>
      </c>
      <c r="E21" s="11" t="s">
        <v>67</v>
      </c>
      <c r="F21" s="12">
        <v>2.0</v>
      </c>
      <c r="G21" s="14">
        <v>50.0</v>
      </c>
      <c r="H21" s="11" t="s">
        <v>42</v>
      </c>
      <c r="I21" s="11" t="s">
        <v>45</v>
      </c>
      <c r="J21" s="14"/>
      <c r="K21" s="11" t="s">
        <v>42</v>
      </c>
      <c r="L21" s="12">
        <v>5.0</v>
      </c>
      <c r="M21" s="18">
        <f t="shared" si="1"/>
        <v>-3</v>
      </c>
      <c r="N21" s="20">
        <f t="shared" si="2"/>
        <v>2</v>
      </c>
      <c r="O21" s="21" t="s">
        <v>197</v>
      </c>
      <c r="P21" s="24" t="s">
        <v>198</v>
      </c>
      <c r="Q21" s="30" t="s">
        <v>175</v>
      </c>
    </row>
    <row r="22" ht="33.75" customHeight="1">
      <c r="A22" s="11" t="s">
        <v>120</v>
      </c>
      <c r="B22" s="11" t="s">
        <v>165</v>
      </c>
      <c r="C22" s="11">
        <v>2022.0</v>
      </c>
      <c r="D22" s="11" t="s">
        <v>121</v>
      </c>
      <c r="E22" s="11" t="s">
        <v>67</v>
      </c>
      <c r="F22" s="12">
        <v>4.0</v>
      </c>
      <c r="G22" s="14">
        <v>50.0</v>
      </c>
      <c r="H22" s="11" t="s">
        <v>42</v>
      </c>
      <c r="I22" s="11" t="s">
        <v>42</v>
      </c>
      <c r="J22" s="14">
        <v>50.0</v>
      </c>
      <c r="K22" s="11" t="s">
        <v>45</v>
      </c>
      <c r="L22" s="12"/>
      <c r="M22" s="18">
        <f t="shared" si="1"/>
        <v>4</v>
      </c>
      <c r="N22" s="20">
        <f t="shared" si="2"/>
        <v>4</v>
      </c>
      <c r="O22" s="21" t="s">
        <v>199</v>
      </c>
      <c r="P22" s="24" t="s">
        <v>200</v>
      </c>
      <c r="Q22" s="30" t="s">
        <v>175</v>
      </c>
    </row>
    <row r="23" ht="33.75" customHeight="1">
      <c r="A23" s="11" t="s">
        <v>125</v>
      </c>
      <c r="B23" s="11" t="s">
        <v>168</v>
      </c>
      <c r="C23" s="11">
        <v>2022.0</v>
      </c>
      <c r="D23" s="11" t="s">
        <v>126</v>
      </c>
      <c r="E23" s="11" t="s">
        <v>67</v>
      </c>
      <c r="F23" s="12">
        <v>6.0</v>
      </c>
      <c r="G23" s="14">
        <v>50.0</v>
      </c>
      <c r="H23" s="11" t="s">
        <v>45</v>
      </c>
      <c r="I23" s="11" t="s">
        <v>45</v>
      </c>
      <c r="J23" s="14">
        <v>50.0</v>
      </c>
      <c r="K23" s="11" t="s">
        <v>45</v>
      </c>
      <c r="L23" s="12"/>
      <c r="M23" s="18">
        <f t="shared" si="1"/>
        <v>6</v>
      </c>
      <c r="N23" s="20">
        <f t="shared" si="2"/>
        <v>2</v>
      </c>
      <c r="O23" s="21" t="s">
        <v>201</v>
      </c>
      <c r="P23" s="24" t="s">
        <v>202</v>
      </c>
      <c r="Q23" s="25" t="s">
        <v>94</v>
      </c>
    </row>
    <row r="24" ht="33.75" customHeight="1">
      <c r="A24" s="11" t="s">
        <v>127</v>
      </c>
      <c r="B24" s="11" t="s">
        <v>97</v>
      </c>
      <c r="C24" s="11">
        <v>2023.0</v>
      </c>
      <c r="D24" s="11" t="s">
        <v>128</v>
      </c>
      <c r="E24" s="11" t="s">
        <v>67</v>
      </c>
      <c r="F24" s="12">
        <v>4.0</v>
      </c>
      <c r="G24" s="14">
        <v>50.0</v>
      </c>
      <c r="H24" s="11" t="s">
        <v>42</v>
      </c>
      <c r="I24" s="11" t="s">
        <v>42</v>
      </c>
      <c r="J24" s="14">
        <v>50.0</v>
      </c>
      <c r="K24" s="11" t="s">
        <v>45</v>
      </c>
      <c r="L24" s="12"/>
      <c r="M24" s="18">
        <f t="shared" si="1"/>
        <v>4</v>
      </c>
      <c r="N24" s="20">
        <f t="shared" si="2"/>
        <v>4</v>
      </c>
      <c r="O24" s="21" t="s">
        <v>203</v>
      </c>
      <c r="P24" s="24" t="s">
        <v>204</v>
      </c>
      <c r="Q24" s="25" t="s">
        <v>94</v>
      </c>
    </row>
    <row r="25" ht="33.75" customHeight="1">
      <c r="A25" s="11" t="s">
        <v>129</v>
      </c>
      <c r="B25" s="11" t="s">
        <v>153</v>
      </c>
      <c r="C25" s="11">
        <v>2023.0</v>
      </c>
      <c r="D25" s="11" t="s">
        <v>130</v>
      </c>
      <c r="E25" s="11" t="s">
        <v>67</v>
      </c>
      <c r="F25" s="12">
        <v>8.0</v>
      </c>
      <c r="G25" s="14">
        <v>50.0</v>
      </c>
      <c r="H25" s="11" t="s">
        <v>42</v>
      </c>
      <c r="I25" s="11" t="s">
        <v>42</v>
      </c>
      <c r="J25" s="14">
        <v>50.0</v>
      </c>
      <c r="K25" s="11" t="s">
        <v>45</v>
      </c>
      <c r="L25" s="12"/>
      <c r="M25" s="18">
        <f t="shared" si="1"/>
        <v>8</v>
      </c>
      <c r="N25" s="20">
        <f t="shared" si="2"/>
        <v>4</v>
      </c>
      <c r="O25" s="21" t="s">
        <v>205</v>
      </c>
      <c r="P25" s="24" t="s">
        <v>206</v>
      </c>
      <c r="Q25" s="30" t="s">
        <v>175</v>
      </c>
    </row>
    <row r="26" ht="33.75" customHeight="1">
      <c r="A26" s="11" t="s">
        <v>131</v>
      </c>
      <c r="B26" s="11" t="s">
        <v>97</v>
      </c>
      <c r="C26" s="11">
        <v>2023.0</v>
      </c>
      <c r="D26" s="11" t="s">
        <v>132</v>
      </c>
      <c r="E26" s="11" t="s">
        <v>67</v>
      </c>
      <c r="F26" s="12">
        <v>3.0</v>
      </c>
      <c r="G26" s="14">
        <v>50.0</v>
      </c>
      <c r="H26" s="11" t="s">
        <v>42</v>
      </c>
      <c r="I26" s="11" t="s">
        <v>42</v>
      </c>
      <c r="J26" s="14">
        <v>50.0</v>
      </c>
      <c r="K26" s="11" t="s">
        <v>45</v>
      </c>
      <c r="L26" s="12"/>
      <c r="M26" s="18">
        <f t="shared" si="1"/>
        <v>3</v>
      </c>
      <c r="N26" s="20">
        <f t="shared" si="2"/>
        <v>4</v>
      </c>
      <c r="O26" s="21" t="s">
        <v>207</v>
      </c>
      <c r="P26" s="24" t="s">
        <v>208</v>
      </c>
      <c r="Q26" s="26" t="s">
        <v>148</v>
      </c>
    </row>
    <row r="27" ht="33.75" customHeight="1">
      <c r="A27" s="11" t="s">
        <v>133</v>
      </c>
      <c r="B27" s="11" t="s">
        <v>37</v>
      </c>
      <c r="C27" s="11">
        <v>2024.0</v>
      </c>
      <c r="D27" s="11" t="s">
        <v>134</v>
      </c>
      <c r="E27" s="11" t="s">
        <v>67</v>
      </c>
      <c r="F27" s="12">
        <v>2.5</v>
      </c>
      <c r="G27" s="14">
        <v>50.0</v>
      </c>
      <c r="H27" s="11" t="s">
        <v>42</v>
      </c>
      <c r="I27" s="11" t="s">
        <v>42</v>
      </c>
      <c r="J27" s="14">
        <v>50.0</v>
      </c>
      <c r="K27" s="11" t="s">
        <v>45</v>
      </c>
      <c r="L27" s="12"/>
      <c r="M27" s="18">
        <f t="shared" si="1"/>
        <v>2.5</v>
      </c>
      <c r="N27" s="20">
        <f t="shared" si="2"/>
        <v>4</v>
      </c>
      <c r="O27" s="21" t="s">
        <v>209</v>
      </c>
      <c r="P27" s="24" t="s">
        <v>210</v>
      </c>
      <c r="Q27" s="25" t="s">
        <v>94</v>
      </c>
    </row>
    <row r="28" ht="33.75" customHeight="1">
      <c r="A28" s="11" t="s">
        <v>138</v>
      </c>
      <c r="B28" s="11" t="s">
        <v>155</v>
      </c>
      <c r="C28" s="11">
        <v>2024.0</v>
      </c>
      <c r="D28" s="11" t="s">
        <v>10</v>
      </c>
      <c r="E28" s="11" t="s">
        <v>67</v>
      </c>
      <c r="F28" s="12">
        <v>2.0</v>
      </c>
      <c r="G28" s="14">
        <v>50.0</v>
      </c>
      <c r="H28" s="11" t="s">
        <v>42</v>
      </c>
      <c r="I28" s="11" t="s">
        <v>42</v>
      </c>
      <c r="J28" s="14">
        <v>50.0</v>
      </c>
      <c r="K28" s="11" t="s">
        <v>45</v>
      </c>
      <c r="L28" s="12"/>
      <c r="M28" s="18">
        <f t="shared" si="1"/>
        <v>2</v>
      </c>
      <c r="N28" s="20">
        <f t="shared" si="2"/>
        <v>4</v>
      </c>
      <c r="O28" s="21" t="s">
        <v>211</v>
      </c>
      <c r="P28" s="24" t="s">
        <v>212</v>
      </c>
      <c r="Q28" s="25" t="s">
        <v>94</v>
      </c>
    </row>
    <row r="29" ht="33.75" customHeight="1">
      <c r="A29" s="11" t="s">
        <v>139</v>
      </c>
      <c r="B29" s="11" t="s">
        <v>213</v>
      </c>
      <c r="C29" s="11">
        <v>2024.0</v>
      </c>
      <c r="D29" s="11" t="s">
        <v>140</v>
      </c>
      <c r="E29" s="11" t="s">
        <v>67</v>
      </c>
      <c r="F29" s="12">
        <v>2.0</v>
      </c>
      <c r="G29" s="14">
        <v>50.0</v>
      </c>
      <c r="H29" s="11" t="s">
        <v>42</v>
      </c>
      <c r="I29" s="11" t="s">
        <v>42</v>
      </c>
      <c r="J29" s="14">
        <v>50.0</v>
      </c>
      <c r="K29" s="11" t="s">
        <v>45</v>
      </c>
      <c r="L29" s="12"/>
      <c r="M29" s="18">
        <f t="shared" si="1"/>
        <v>2</v>
      </c>
      <c r="N29" s="20">
        <f t="shared" si="2"/>
        <v>4</v>
      </c>
      <c r="O29" s="21" t="s">
        <v>214</v>
      </c>
      <c r="P29" s="24" t="s">
        <v>215</v>
      </c>
      <c r="Q29" s="26" t="s">
        <v>148</v>
      </c>
    </row>
    <row r="30" ht="33.75" customHeight="1">
      <c r="A30" s="11" t="s">
        <v>141</v>
      </c>
      <c r="B30" s="11" t="s">
        <v>168</v>
      </c>
      <c r="C30" s="11">
        <v>2024.0</v>
      </c>
      <c r="D30" s="11" t="s">
        <v>142</v>
      </c>
      <c r="E30" s="11" t="s">
        <v>22</v>
      </c>
      <c r="F30" s="12">
        <v>12.0</v>
      </c>
      <c r="G30" s="14"/>
      <c r="H30" s="11" t="s">
        <v>42</v>
      </c>
      <c r="I30" s="11" t="s">
        <v>45</v>
      </c>
      <c r="J30" s="14"/>
      <c r="K30" s="11" t="s">
        <v>45</v>
      </c>
      <c r="L30" s="12"/>
      <c r="M30" s="18">
        <f t="shared" si="1"/>
        <v>12</v>
      </c>
      <c r="N30" s="20">
        <f t="shared" si="2"/>
        <v>1</v>
      </c>
      <c r="O30" s="21" t="s">
        <v>216</v>
      </c>
      <c r="P30" s="24" t="s">
        <v>217</v>
      </c>
      <c r="Q30" s="30" t="s">
        <v>175</v>
      </c>
    </row>
    <row r="31" ht="33.75" customHeight="1">
      <c r="A31" s="11" t="s">
        <v>143</v>
      </c>
      <c r="B31" s="11" t="s">
        <v>160</v>
      </c>
      <c r="C31" s="11">
        <v>2024.0</v>
      </c>
      <c r="D31" s="11" t="s">
        <v>144</v>
      </c>
      <c r="E31" s="11" t="s">
        <v>22</v>
      </c>
      <c r="F31" s="12">
        <v>5.0</v>
      </c>
      <c r="G31" s="14"/>
      <c r="H31" s="11" t="s">
        <v>42</v>
      </c>
      <c r="I31" s="11" t="s">
        <v>45</v>
      </c>
      <c r="J31" s="14">
        <v>50.0</v>
      </c>
      <c r="K31" s="11" t="s">
        <v>45</v>
      </c>
      <c r="L31" s="12"/>
      <c r="M31" s="18">
        <f t="shared" si="1"/>
        <v>5</v>
      </c>
      <c r="N31" s="20">
        <f t="shared" si="2"/>
        <v>2</v>
      </c>
      <c r="O31" s="21" t="s">
        <v>218</v>
      </c>
      <c r="P31" s="24" t="s">
        <v>219</v>
      </c>
      <c r="Q31" s="30" t="s">
        <v>175</v>
      </c>
    </row>
    <row r="32" ht="33.75" customHeight="1">
      <c r="A32" s="11" t="s">
        <v>146</v>
      </c>
      <c r="B32" s="11" t="s">
        <v>153</v>
      </c>
      <c r="C32" s="11">
        <v>2024.0</v>
      </c>
      <c r="D32" s="11" t="s">
        <v>147</v>
      </c>
      <c r="E32" s="11" t="s">
        <v>67</v>
      </c>
      <c r="F32" s="12">
        <v>6.0</v>
      </c>
      <c r="G32" s="14">
        <v>50.0</v>
      </c>
      <c r="H32" s="11" t="s">
        <v>42</v>
      </c>
      <c r="I32" s="11" t="s">
        <v>42</v>
      </c>
      <c r="J32" s="14">
        <v>50.0</v>
      </c>
      <c r="K32" s="11" t="s">
        <v>45</v>
      </c>
      <c r="L32" s="12"/>
      <c r="M32" s="18">
        <f t="shared" si="1"/>
        <v>6</v>
      </c>
      <c r="N32" s="20">
        <f t="shared" si="2"/>
        <v>4</v>
      </c>
      <c r="O32" s="21" t="s">
        <v>220</v>
      </c>
      <c r="P32" s="24" t="s">
        <v>221</v>
      </c>
      <c r="Q32" s="30" t="s">
        <v>175</v>
      </c>
    </row>
    <row r="33" ht="33.75" customHeight="1">
      <c r="A33" s="11" t="s">
        <v>149</v>
      </c>
      <c r="B33" s="11" t="s">
        <v>97</v>
      </c>
      <c r="C33" s="11">
        <v>2025.0</v>
      </c>
      <c r="D33" s="11" t="s">
        <v>10</v>
      </c>
      <c r="E33" s="11" t="s">
        <v>67</v>
      </c>
      <c r="F33" s="12">
        <v>6.0</v>
      </c>
      <c r="G33" s="14">
        <v>50.0</v>
      </c>
      <c r="H33" s="11" t="s">
        <v>42</v>
      </c>
      <c r="I33" s="11" t="s">
        <v>42</v>
      </c>
      <c r="J33" s="14">
        <v>50.0</v>
      </c>
      <c r="K33" s="11" t="s">
        <v>45</v>
      </c>
      <c r="L33" s="12"/>
      <c r="M33" s="18">
        <f t="shared" si="1"/>
        <v>6</v>
      </c>
      <c r="N33" s="20">
        <f t="shared" si="2"/>
        <v>4</v>
      </c>
      <c r="O33" s="21" t="s">
        <v>222</v>
      </c>
      <c r="P33" s="24" t="s">
        <v>223</v>
      </c>
      <c r="Q33" s="26" t="s">
        <v>148</v>
      </c>
    </row>
    <row r="34" ht="33.75" customHeight="1">
      <c r="A34" s="11" t="s">
        <v>150</v>
      </c>
      <c r="B34" s="11" t="s">
        <v>153</v>
      </c>
      <c r="C34" s="11">
        <v>2020.0</v>
      </c>
      <c r="D34" s="11" t="s">
        <v>132</v>
      </c>
      <c r="E34" s="11" t="s">
        <v>67</v>
      </c>
      <c r="F34" s="12">
        <v>2.5</v>
      </c>
      <c r="G34" s="14">
        <v>50.0</v>
      </c>
      <c r="H34" s="11" t="s">
        <v>45</v>
      </c>
      <c r="I34" s="11" t="s">
        <v>45</v>
      </c>
      <c r="J34" s="14">
        <v>50.0</v>
      </c>
      <c r="K34" s="11" t="s">
        <v>45</v>
      </c>
      <c r="L34" s="12"/>
      <c r="M34" s="18">
        <f t="shared" si="1"/>
        <v>2.5</v>
      </c>
      <c r="N34" s="20">
        <f t="shared" si="2"/>
        <v>2</v>
      </c>
      <c r="O34" s="21" t="s">
        <v>224</v>
      </c>
      <c r="P34" s="24" t="s">
        <v>225</v>
      </c>
      <c r="Q34" s="26" t="s">
        <v>148</v>
      </c>
    </row>
    <row r="35" ht="15.0" customHeight="1">
      <c r="A35" s="11" t="s">
        <v>226</v>
      </c>
      <c r="B35" s="11" t="s">
        <v>97</v>
      </c>
      <c r="C35" s="11">
        <v>2007.0</v>
      </c>
      <c r="D35" s="11" t="s">
        <v>10</v>
      </c>
      <c r="E35" s="11" t="s">
        <v>16</v>
      </c>
      <c r="F35" s="12">
        <v>3.0</v>
      </c>
      <c r="G35" s="14">
        <v>0.0</v>
      </c>
      <c r="H35" s="11" t="s">
        <v>45</v>
      </c>
      <c r="I35" s="11" t="s">
        <v>45</v>
      </c>
      <c r="J35" s="14">
        <v>0.0</v>
      </c>
      <c r="K35" s="11" t="s">
        <v>45</v>
      </c>
      <c r="L35" s="12">
        <v>0.0</v>
      </c>
      <c r="M35" s="18">
        <f t="shared" ref="M35:M138" si="3">F35-L35</f>
        <v>3</v>
      </c>
      <c r="N35" s="20">
        <f t="shared" ref="N35:N138" si="4">IF(H35="Yes",2,0)+IF(I35="Yes",1,0)+IF(G35&gt;0,1,0)+IF(J35&gt;0,1,0)</f>
        <v>0</v>
      </c>
      <c r="O35" s="21" t="s">
        <v>227</v>
      </c>
      <c r="P35" s="24" t="s">
        <v>228</v>
      </c>
      <c r="Q35" s="11" t="s">
        <v>175</v>
      </c>
    </row>
    <row r="36" ht="27.75" customHeight="1">
      <c r="A36" s="11" t="s">
        <v>229</v>
      </c>
      <c r="B36" s="11" t="s">
        <v>160</v>
      </c>
      <c r="C36" s="11">
        <v>2006.0</v>
      </c>
      <c r="D36" s="11" t="s">
        <v>230</v>
      </c>
      <c r="E36" s="11" t="s">
        <v>16</v>
      </c>
      <c r="F36" s="12">
        <v>1.3</v>
      </c>
      <c r="G36" s="14">
        <v>0.0</v>
      </c>
      <c r="H36" s="11" t="s">
        <v>45</v>
      </c>
      <c r="I36" s="11" t="s">
        <v>45</v>
      </c>
      <c r="J36" s="14">
        <v>0.0</v>
      </c>
      <c r="K36" s="11" t="s">
        <v>45</v>
      </c>
      <c r="L36" s="12">
        <v>0.0</v>
      </c>
      <c r="M36" s="18">
        <f t="shared" si="3"/>
        <v>1.3</v>
      </c>
      <c r="N36" s="20">
        <f t="shared" si="4"/>
        <v>0</v>
      </c>
      <c r="O36" s="21" t="s">
        <v>231</v>
      </c>
      <c r="P36" s="24" t="s">
        <v>232</v>
      </c>
      <c r="Q36" s="11" t="s">
        <v>175</v>
      </c>
    </row>
    <row r="37" ht="15.0" customHeight="1">
      <c r="A37" s="11" t="s">
        <v>233</v>
      </c>
      <c r="B37" s="11" t="s">
        <v>234</v>
      </c>
      <c r="C37" s="11">
        <v>2007.0</v>
      </c>
      <c r="D37" s="11" t="s">
        <v>235</v>
      </c>
      <c r="E37" s="11" t="s">
        <v>16</v>
      </c>
      <c r="F37" s="12">
        <v>6.0</v>
      </c>
      <c r="G37" s="14">
        <v>0.0</v>
      </c>
      <c r="H37" s="11" t="s">
        <v>45</v>
      </c>
      <c r="I37" s="11" t="s">
        <v>45</v>
      </c>
      <c r="J37" s="14">
        <v>0.0</v>
      </c>
      <c r="K37" s="11" t="s">
        <v>45</v>
      </c>
      <c r="L37" s="12">
        <v>0.0</v>
      </c>
      <c r="M37" s="18">
        <f t="shared" si="3"/>
        <v>6</v>
      </c>
      <c r="N37" s="20">
        <f t="shared" si="4"/>
        <v>0</v>
      </c>
      <c r="O37" s="21" t="s">
        <v>236</v>
      </c>
      <c r="P37" s="24" t="s">
        <v>228</v>
      </c>
      <c r="Q37" s="11" t="s">
        <v>175</v>
      </c>
    </row>
    <row r="38" ht="15.0" customHeight="1">
      <c r="A38" s="11" t="s">
        <v>237</v>
      </c>
      <c r="B38" s="11" t="s">
        <v>168</v>
      </c>
      <c r="C38" s="11">
        <v>2007.0</v>
      </c>
      <c r="D38" s="11" t="s">
        <v>238</v>
      </c>
      <c r="E38" s="11" t="s">
        <v>16</v>
      </c>
      <c r="F38" s="12">
        <v>2.0</v>
      </c>
      <c r="G38" s="14">
        <v>0.0</v>
      </c>
      <c r="H38" s="11" t="s">
        <v>45</v>
      </c>
      <c r="I38" s="11" t="s">
        <v>45</v>
      </c>
      <c r="J38" s="14">
        <v>0.0</v>
      </c>
      <c r="K38" s="11" t="s">
        <v>45</v>
      </c>
      <c r="L38" s="12">
        <v>0.0</v>
      </c>
      <c r="M38" s="18">
        <f t="shared" si="3"/>
        <v>2</v>
      </c>
      <c r="N38" s="20">
        <f t="shared" si="4"/>
        <v>0</v>
      </c>
      <c r="O38" s="21" t="s">
        <v>239</v>
      </c>
      <c r="P38" s="24" t="s">
        <v>228</v>
      </c>
      <c r="Q38" s="11" t="s">
        <v>94</v>
      </c>
    </row>
    <row r="39" ht="15.0" customHeight="1">
      <c r="A39" s="11" t="s">
        <v>240</v>
      </c>
      <c r="B39" s="11" t="s">
        <v>241</v>
      </c>
      <c r="C39" s="11">
        <v>2008.0</v>
      </c>
      <c r="D39" s="11" t="s">
        <v>39</v>
      </c>
      <c r="E39" s="11" t="s">
        <v>16</v>
      </c>
      <c r="F39" s="12">
        <v>4.0</v>
      </c>
      <c r="G39" s="14">
        <v>0.0</v>
      </c>
      <c r="H39" s="11" t="s">
        <v>45</v>
      </c>
      <c r="I39" s="11" t="s">
        <v>45</v>
      </c>
      <c r="J39" s="14">
        <v>0.0</v>
      </c>
      <c r="K39" s="11" t="s">
        <v>45</v>
      </c>
      <c r="L39" s="12">
        <v>0.0</v>
      </c>
      <c r="M39" s="18">
        <f t="shared" si="3"/>
        <v>4</v>
      </c>
      <c r="N39" s="20">
        <f t="shared" si="4"/>
        <v>0</v>
      </c>
      <c r="O39" s="21" t="s">
        <v>242</v>
      </c>
      <c r="P39" s="24" t="s">
        <v>243</v>
      </c>
      <c r="Q39" s="11" t="s">
        <v>175</v>
      </c>
    </row>
    <row r="40" ht="27.75" customHeight="1">
      <c r="A40" s="11" t="s">
        <v>244</v>
      </c>
      <c r="B40" s="11" t="s">
        <v>97</v>
      </c>
      <c r="C40" s="11">
        <v>2008.0</v>
      </c>
      <c r="D40" s="11" t="s">
        <v>10</v>
      </c>
      <c r="E40" s="11" t="s">
        <v>16</v>
      </c>
      <c r="F40" s="12">
        <v>0.0</v>
      </c>
      <c r="G40" s="14">
        <v>0.0</v>
      </c>
      <c r="H40" s="11" t="s">
        <v>45</v>
      </c>
      <c r="I40" s="11" t="s">
        <v>45</v>
      </c>
      <c r="J40" s="14">
        <v>0.0</v>
      </c>
      <c r="K40" s="11" t="s">
        <v>45</v>
      </c>
      <c r="L40" s="12">
        <v>0.0</v>
      </c>
      <c r="M40" s="18">
        <f t="shared" si="3"/>
        <v>0</v>
      </c>
      <c r="N40" s="20">
        <f t="shared" si="4"/>
        <v>0</v>
      </c>
      <c r="O40" s="21" t="s">
        <v>245</v>
      </c>
      <c r="P40" s="24" t="s">
        <v>243</v>
      </c>
      <c r="Q40" s="11" t="s">
        <v>94</v>
      </c>
    </row>
    <row r="41" ht="27.75" customHeight="1">
      <c r="A41" s="11" t="s">
        <v>246</v>
      </c>
      <c r="B41" s="11" t="s">
        <v>247</v>
      </c>
      <c r="C41" s="11">
        <v>2009.0</v>
      </c>
      <c r="D41" s="11" t="s">
        <v>10</v>
      </c>
      <c r="E41" s="11" t="s">
        <v>16</v>
      </c>
      <c r="F41" s="12">
        <v>2.0</v>
      </c>
      <c r="G41" s="14">
        <v>0.0</v>
      </c>
      <c r="H41" s="11" t="s">
        <v>45</v>
      </c>
      <c r="I41" s="11" t="s">
        <v>45</v>
      </c>
      <c r="J41" s="14">
        <v>0.0</v>
      </c>
      <c r="K41" s="11" t="s">
        <v>45</v>
      </c>
      <c r="L41" s="12">
        <v>0.0</v>
      </c>
      <c r="M41" s="18">
        <f t="shared" si="3"/>
        <v>2</v>
      </c>
      <c r="N41" s="20">
        <f t="shared" si="4"/>
        <v>0</v>
      </c>
      <c r="O41" s="21" t="s">
        <v>248</v>
      </c>
      <c r="P41" s="24" t="s">
        <v>249</v>
      </c>
      <c r="Q41" s="11" t="s">
        <v>175</v>
      </c>
    </row>
    <row r="42" ht="15.0" customHeight="1">
      <c r="A42" s="11" t="s">
        <v>250</v>
      </c>
      <c r="B42" s="11" t="s">
        <v>37</v>
      </c>
      <c r="C42" s="11">
        <v>2009.0</v>
      </c>
      <c r="D42" s="11" t="s">
        <v>134</v>
      </c>
      <c r="E42" s="11" t="s">
        <v>16</v>
      </c>
      <c r="F42" s="12">
        <v>3.0</v>
      </c>
      <c r="G42" s="14">
        <v>0.0</v>
      </c>
      <c r="H42" s="11" t="s">
        <v>45</v>
      </c>
      <c r="I42" s="11" t="s">
        <v>45</v>
      </c>
      <c r="J42" s="14">
        <v>0.0</v>
      </c>
      <c r="K42" s="11" t="s">
        <v>45</v>
      </c>
      <c r="L42" s="12">
        <v>0.0</v>
      </c>
      <c r="M42" s="18">
        <f t="shared" si="3"/>
        <v>3</v>
      </c>
      <c r="N42" s="20">
        <f t="shared" si="4"/>
        <v>0</v>
      </c>
      <c r="O42" s="21" t="s">
        <v>251</v>
      </c>
      <c r="P42" s="24" t="s">
        <v>249</v>
      </c>
      <c r="Q42" s="11" t="s">
        <v>175</v>
      </c>
    </row>
    <row r="43" ht="15.0" customHeight="1">
      <c r="A43" s="11" t="s">
        <v>252</v>
      </c>
      <c r="B43" s="11" t="s">
        <v>234</v>
      </c>
      <c r="C43" s="11">
        <v>2009.0</v>
      </c>
      <c r="D43" s="11" t="s">
        <v>10</v>
      </c>
      <c r="E43" s="11" t="s">
        <v>253</v>
      </c>
      <c r="F43" s="12">
        <v>0.0</v>
      </c>
      <c r="G43" s="14">
        <v>0.0</v>
      </c>
      <c r="H43" s="11" t="s">
        <v>45</v>
      </c>
      <c r="I43" s="11" t="s">
        <v>45</v>
      </c>
      <c r="J43" s="14">
        <v>0.0</v>
      </c>
      <c r="K43" s="11" t="s">
        <v>45</v>
      </c>
      <c r="L43" s="12">
        <v>0.0</v>
      </c>
      <c r="M43" s="18">
        <f t="shared" si="3"/>
        <v>0</v>
      </c>
      <c r="N43" s="20">
        <f t="shared" si="4"/>
        <v>0</v>
      </c>
      <c r="O43" s="21" t="s">
        <v>254</v>
      </c>
      <c r="P43" s="24" t="s">
        <v>249</v>
      </c>
      <c r="Q43" s="11" t="s">
        <v>175</v>
      </c>
    </row>
    <row r="44" ht="15.0" customHeight="1">
      <c r="A44" s="11" t="s">
        <v>255</v>
      </c>
      <c r="B44" s="11" t="s">
        <v>37</v>
      </c>
      <c r="C44" s="11">
        <v>2006.0</v>
      </c>
      <c r="D44" s="11" t="s">
        <v>256</v>
      </c>
      <c r="E44" s="11" t="s">
        <v>16</v>
      </c>
      <c r="F44" s="12">
        <v>0.0</v>
      </c>
      <c r="G44" s="14">
        <v>0.0</v>
      </c>
      <c r="H44" s="11" t="s">
        <v>45</v>
      </c>
      <c r="I44" s="11" t="s">
        <v>45</v>
      </c>
      <c r="J44" s="14">
        <v>0.0</v>
      </c>
      <c r="K44" s="11" t="s">
        <v>45</v>
      </c>
      <c r="L44" s="12">
        <v>0.0</v>
      </c>
      <c r="M44" s="18">
        <f t="shared" si="3"/>
        <v>0</v>
      </c>
      <c r="N44" s="20">
        <f t="shared" si="4"/>
        <v>0</v>
      </c>
      <c r="O44" s="21" t="s">
        <v>257</v>
      </c>
      <c r="P44" s="24" t="s">
        <v>232</v>
      </c>
      <c r="Q44" s="11" t="s">
        <v>94</v>
      </c>
    </row>
    <row r="45" ht="15.0" customHeight="1">
      <c r="A45" s="11" t="s">
        <v>258</v>
      </c>
      <c r="B45" s="11" t="s">
        <v>168</v>
      </c>
      <c r="C45" s="11">
        <v>2008.0</v>
      </c>
      <c r="D45" s="11" t="s">
        <v>132</v>
      </c>
      <c r="E45" s="11" t="s">
        <v>253</v>
      </c>
      <c r="F45" s="12">
        <v>0.0</v>
      </c>
      <c r="G45" s="14">
        <v>0.0</v>
      </c>
      <c r="H45" s="11" t="s">
        <v>45</v>
      </c>
      <c r="I45" s="11" t="s">
        <v>45</v>
      </c>
      <c r="J45" s="14">
        <v>0.0</v>
      </c>
      <c r="K45" s="11" t="s">
        <v>45</v>
      </c>
      <c r="L45" s="12">
        <v>0.0</v>
      </c>
      <c r="M45" s="18">
        <f t="shared" si="3"/>
        <v>0</v>
      </c>
      <c r="N45" s="20">
        <f t="shared" si="4"/>
        <v>0</v>
      </c>
      <c r="O45" s="21" t="s">
        <v>259</v>
      </c>
      <c r="P45" s="24" t="s">
        <v>243</v>
      </c>
      <c r="Q45" s="11" t="s">
        <v>94</v>
      </c>
    </row>
    <row r="46" ht="15.0" customHeight="1">
      <c r="A46" s="11" t="s">
        <v>260</v>
      </c>
      <c r="B46" s="11" t="s">
        <v>160</v>
      </c>
      <c r="C46" s="11">
        <v>2006.0</v>
      </c>
      <c r="D46" s="11" t="s">
        <v>261</v>
      </c>
      <c r="E46" s="11" t="s">
        <v>16</v>
      </c>
      <c r="F46" s="12">
        <v>0.4</v>
      </c>
      <c r="G46" s="14">
        <v>0.0</v>
      </c>
      <c r="H46" s="11" t="s">
        <v>45</v>
      </c>
      <c r="I46" s="11" t="s">
        <v>45</v>
      </c>
      <c r="J46" s="14">
        <v>0.0</v>
      </c>
      <c r="K46" s="11" t="s">
        <v>45</v>
      </c>
      <c r="L46" s="12">
        <v>0.0</v>
      </c>
      <c r="M46" s="18">
        <f t="shared" si="3"/>
        <v>0.4</v>
      </c>
      <c r="N46" s="20">
        <f t="shared" si="4"/>
        <v>0</v>
      </c>
      <c r="O46" s="21" t="s">
        <v>262</v>
      </c>
      <c r="P46" s="24" t="s">
        <v>232</v>
      </c>
      <c r="Q46" s="11" t="s">
        <v>175</v>
      </c>
    </row>
    <row r="47" ht="15.0" customHeight="1">
      <c r="A47" s="11" t="s">
        <v>263</v>
      </c>
      <c r="B47" s="11" t="s">
        <v>168</v>
      </c>
      <c r="C47" s="11">
        <v>2006.0</v>
      </c>
      <c r="D47" s="11" t="s">
        <v>264</v>
      </c>
      <c r="E47" s="11" t="s">
        <v>253</v>
      </c>
      <c r="F47" s="12">
        <v>0.0</v>
      </c>
      <c r="G47" s="14">
        <v>0.0</v>
      </c>
      <c r="H47" s="11" t="s">
        <v>45</v>
      </c>
      <c r="I47" s="11" t="s">
        <v>45</v>
      </c>
      <c r="J47" s="14">
        <v>0.0</v>
      </c>
      <c r="K47" s="11" t="s">
        <v>45</v>
      </c>
      <c r="L47" s="12">
        <v>0.0</v>
      </c>
      <c r="M47" s="18">
        <f t="shared" si="3"/>
        <v>0</v>
      </c>
      <c r="N47" s="20">
        <f t="shared" si="4"/>
        <v>0</v>
      </c>
      <c r="O47" s="21" t="s">
        <v>265</v>
      </c>
      <c r="P47" s="24" t="s">
        <v>232</v>
      </c>
      <c r="Q47" s="11" t="s">
        <v>94</v>
      </c>
    </row>
    <row r="48" ht="15.0" customHeight="1">
      <c r="A48" s="11" t="s">
        <v>266</v>
      </c>
      <c r="B48" s="11" t="s">
        <v>153</v>
      </c>
      <c r="C48" s="11">
        <v>2007.0</v>
      </c>
      <c r="D48" s="11" t="s">
        <v>134</v>
      </c>
      <c r="E48" s="11" t="s">
        <v>16</v>
      </c>
      <c r="F48" s="12">
        <v>0.0</v>
      </c>
      <c r="G48" s="14">
        <v>0.0</v>
      </c>
      <c r="H48" s="11" t="s">
        <v>45</v>
      </c>
      <c r="I48" s="11" t="s">
        <v>45</v>
      </c>
      <c r="J48" s="14">
        <v>0.0</v>
      </c>
      <c r="K48" s="11" t="s">
        <v>45</v>
      </c>
      <c r="L48" s="12">
        <v>0.0</v>
      </c>
      <c r="M48" s="18">
        <f t="shared" si="3"/>
        <v>0</v>
      </c>
      <c r="N48" s="20">
        <f t="shared" si="4"/>
        <v>0</v>
      </c>
      <c r="O48" s="21" t="s">
        <v>267</v>
      </c>
      <c r="P48" s="24" t="s">
        <v>228</v>
      </c>
      <c r="Q48" s="11" t="s">
        <v>94</v>
      </c>
    </row>
    <row r="49" ht="15.0" customHeight="1">
      <c r="A49" s="11" t="s">
        <v>268</v>
      </c>
      <c r="B49" s="11" t="s">
        <v>168</v>
      </c>
      <c r="C49" s="11">
        <v>2011.0</v>
      </c>
      <c r="D49" s="11" t="s">
        <v>269</v>
      </c>
      <c r="E49" s="11" t="s">
        <v>270</v>
      </c>
      <c r="F49" s="12">
        <v>0.0</v>
      </c>
      <c r="G49" s="14">
        <v>0.0</v>
      </c>
      <c r="H49" s="11" t="s">
        <v>45</v>
      </c>
      <c r="I49" s="11" t="s">
        <v>45</v>
      </c>
      <c r="J49" s="14">
        <v>0.0</v>
      </c>
      <c r="K49" s="11" t="s">
        <v>45</v>
      </c>
      <c r="L49" s="12">
        <v>0.0</v>
      </c>
      <c r="M49" s="18">
        <f t="shared" si="3"/>
        <v>0</v>
      </c>
      <c r="N49" s="20">
        <f t="shared" si="4"/>
        <v>0</v>
      </c>
      <c r="O49" s="21" t="s">
        <v>271</v>
      </c>
      <c r="P49" s="24" t="s">
        <v>272</v>
      </c>
      <c r="Q49" s="11" t="s">
        <v>175</v>
      </c>
    </row>
    <row r="50" ht="15.0" customHeight="1">
      <c r="A50" s="11" t="s">
        <v>273</v>
      </c>
      <c r="B50" s="11" t="s">
        <v>165</v>
      </c>
      <c r="C50" s="11">
        <v>2010.0</v>
      </c>
      <c r="D50" s="11" t="s">
        <v>274</v>
      </c>
      <c r="E50" s="11" t="s">
        <v>16</v>
      </c>
      <c r="F50" s="12">
        <v>2.4</v>
      </c>
      <c r="G50" s="14">
        <v>0.0</v>
      </c>
      <c r="H50" s="11" t="s">
        <v>45</v>
      </c>
      <c r="I50" s="11" t="s">
        <v>45</v>
      </c>
      <c r="J50" s="14">
        <v>0.0</v>
      </c>
      <c r="K50" s="11" t="s">
        <v>45</v>
      </c>
      <c r="L50" s="12">
        <v>0.0</v>
      </c>
      <c r="M50" s="18">
        <f t="shared" si="3"/>
        <v>2.4</v>
      </c>
      <c r="N50" s="20">
        <f t="shared" si="4"/>
        <v>0</v>
      </c>
      <c r="O50" s="21" t="s">
        <v>275</v>
      </c>
      <c r="P50" s="24" t="s">
        <v>276</v>
      </c>
      <c r="Q50" s="11" t="s">
        <v>175</v>
      </c>
    </row>
    <row r="51" ht="27.75" customHeight="1">
      <c r="A51" s="11" t="s">
        <v>277</v>
      </c>
      <c r="B51" s="11" t="s">
        <v>37</v>
      </c>
      <c r="C51" s="11">
        <v>2010.0</v>
      </c>
      <c r="D51" s="11" t="s">
        <v>39</v>
      </c>
      <c r="E51" s="11" t="s">
        <v>16</v>
      </c>
      <c r="F51" s="12">
        <v>6.0</v>
      </c>
      <c r="G51" s="14">
        <v>0.0</v>
      </c>
      <c r="H51" s="11" t="s">
        <v>45</v>
      </c>
      <c r="I51" s="11" t="s">
        <v>45</v>
      </c>
      <c r="J51" s="14">
        <v>0.0</v>
      </c>
      <c r="K51" s="11" t="s">
        <v>45</v>
      </c>
      <c r="L51" s="12">
        <v>0.0</v>
      </c>
      <c r="M51" s="18">
        <f t="shared" si="3"/>
        <v>6</v>
      </c>
      <c r="N51" s="20">
        <f t="shared" si="4"/>
        <v>0</v>
      </c>
      <c r="O51" s="21" t="s">
        <v>278</v>
      </c>
      <c r="P51" s="24" t="s">
        <v>276</v>
      </c>
      <c r="Q51" s="11" t="s">
        <v>175</v>
      </c>
    </row>
    <row r="52" ht="15.0" customHeight="1">
      <c r="A52" s="11" t="s">
        <v>279</v>
      </c>
      <c r="B52" s="11" t="s">
        <v>155</v>
      </c>
      <c r="C52" s="11">
        <v>2011.0</v>
      </c>
      <c r="D52" s="11" t="s">
        <v>280</v>
      </c>
      <c r="E52" s="11" t="s">
        <v>16</v>
      </c>
      <c r="F52" s="12">
        <v>0.0</v>
      </c>
      <c r="G52" s="14">
        <v>0.0</v>
      </c>
      <c r="H52" s="11" t="s">
        <v>45</v>
      </c>
      <c r="I52" s="11" t="s">
        <v>45</v>
      </c>
      <c r="J52" s="14">
        <v>0.0</v>
      </c>
      <c r="K52" s="11" t="s">
        <v>45</v>
      </c>
      <c r="L52" s="12">
        <v>0.0</v>
      </c>
      <c r="M52" s="18">
        <f t="shared" si="3"/>
        <v>0</v>
      </c>
      <c r="N52" s="20">
        <f t="shared" si="4"/>
        <v>0</v>
      </c>
      <c r="O52" s="21" t="s">
        <v>281</v>
      </c>
      <c r="P52" s="24" t="s">
        <v>272</v>
      </c>
      <c r="Q52" s="11" t="s">
        <v>94</v>
      </c>
    </row>
    <row r="53" ht="15.0" customHeight="1">
      <c r="A53" s="11" t="s">
        <v>282</v>
      </c>
      <c r="B53" s="11" t="s">
        <v>97</v>
      </c>
      <c r="C53" s="11">
        <v>2011.0</v>
      </c>
      <c r="D53" s="11" t="s">
        <v>283</v>
      </c>
      <c r="E53" s="11" t="s">
        <v>253</v>
      </c>
      <c r="F53" s="12">
        <v>0.0</v>
      </c>
      <c r="G53" s="14">
        <v>0.0</v>
      </c>
      <c r="H53" s="11" t="s">
        <v>45</v>
      </c>
      <c r="I53" s="11" t="s">
        <v>45</v>
      </c>
      <c r="J53" s="14">
        <v>0.0</v>
      </c>
      <c r="K53" s="11" t="s">
        <v>45</v>
      </c>
      <c r="L53" s="12">
        <v>0.0</v>
      </c>
      <c r="M53" s="18">
        <f t="shared" si="3"/>
        <v>0</v>
      </c>
      <c r="N53" s="20">
        <f t="shared" si="4"/>
        <v>0</v>
      </c>
      <c r="O53" s="21" t="s">
        <v>265</v>
      </c>
      <c r="P53" s="24" t="s">
        <v>272</v>
      </c>
      <c r="Q53" s="11" t="s">
        <v>94</v>
      </c>
    </row>
    <row r="54" ht="15.0" customHeight="1">
      <c r="A54" s="11" t="s">
        <v>284</v>
      </c>
      <c r="B54" s="11" t="s">
        <v>97</v>
      </c>
      <c r="C54" s="11">
        <v>2011.0</v>
      </c>
      <c r="D54" s="11" t="s">
        <v>285</v>
      </c>
      <c r="E54" s="11" t="s">
        <v>16</v>
      </c>
      <c r="F54" s="12">
        <v>1.0</v>
      </c>
      <c r="G54" s="14">
        <v>0.0</v>
      </c>
      <c r="H54" s="11" t="s">
        <v>45</v>
      </c>
      <c r="I54" s="11" t="s">
        <v>45</v>
      </c>
      <c r="J54" s="14">
        <v>0.0</v>
      </c>
      <c r="K54" s="11" t="s">
        <v>45</v>
      </c>
      <c r="L54" s="12">
        <v>0.0</v>
      </c>
      <c r="M54" s="18">
        <f t="shared" si="3"/>
        <v>1</v>
      </c>
      <c r="N54" s="20">
        <f t="shared" si="4"/>
        <v>0</v>
      </c>
      <c r="O54" s="21" t="s">
        <v>286</v>
      </c>
      <c r="P54" s="24" t="s">
        <v>272</v>
      </c>
      <c r="Q54" s="11" t="s">
        <v>175</v>
      </c>
    </row>
    <row r="55" ht="15.0" customHeight="1">
      <c r="A55" s="11" t="s">
        <v>287</v>
      </c>
      <c r="B55" s="11" t="s">
        <v>168</v>
      </c>
      <c r="C55" s="11">
        <v>2011.0</v>
      </c>
      <c r="D55" s="11" t="s">
        <v>288</v>
      </c>
      <c r="E55" s="11" t="s">
        <v>253</v>
      </c>
      <c r="F55" s="12">
        <v>0.0</v>
      </c>
      <c r="G55" s="14">
        <v>0.0</v>
      </c>
      <c r="H55" s="11" t="s">
        <v>45</v>
      </c>
      <c r="I55" s="11" t="s">
        <v>45</v>
      </c>
      <c r="J55" s="14">
        <v>0.0</v>
      </c>
      <c r="K55" s="11" t="s">
        <v>45</v>
      </c>
      <c r="L55" s="12">
        <v>0.0</v>
      </c>
      <c r="M55" s="18">
        <f t="shared" si="3"/>
        <v>0</v>
      </c>
      <c r="N55" s="20">
        <f t="shared" si="4"/>
        <v>0</v>
      </c>
      <c r="O55" s="21" t="s">
        <v>289</v>
      </c>
      <c r="P55" s="24" t="s">
        <v>272</v>
      </c>
      <c r="Q55" s="11" t="s">
        <v>94</v>
      </c>
    </row>
    <row r="56" ht="27.75" customHeight="1">
      <c r="A56" s="11" t="s">
        <v>290</v>
      </c>
      <c r="B56" s="11" t="s">
        <v>153</v>
      </c>
      <c r="C56" s="11">
        <v>2011.0</v>
      </c>
      <c r="D56" s="11" t="s">
        <v>291</v>
      </c>
      <c r="E56" s="11" t="s">
        <v>253</v>
      </c>
      <c r="F56" s="12">
        <v>0.0</v>
      </c>
      <c r="G56" s="14">
        <v>0.0</v>
      </c>
      <c r="H56" s="11" t="s">
        <v>45</v>
      </c>
      <c r="I56" s="11" t="s">
        <v>45</v>
      </c>
      <c r="J56" s="14">
        <v>0.0</v>
      </c>
      <c r="K56" s="11" t="s">
        <v>45</v>
      </c>
      <c r="L56" s="12">
        <v>0.0</v>
      </c>
      <c r="M56" s="18">
        <f t="shared" si="3"/>
        <v>0</v>
      </c>
      <c r="N56" s="20">
        <f t="shared" si="4"/>
        <v>0</v>
      </c>
      <c r="O56" s="21" t="s">
        <v>292</v>
      </c>
      <c r="P56" s="24" t="s">
        <v>272</v>
      </c>
      <c r="Q56" s="11" t="s">
        <v>94</v>
      </c>
    </row>
    <row r="57" ht="15.0" customHeight="1">
      <c r="A57" s="11" t="s">
        <v>293</v>
      </c>
      <c r="B57" s="11" t="s">
        <v>160</v>
      </c>
      <c r="C57" s="11">
        <v>2010.0</v>
      </c>
      <c r="D57" s="11" t="s">
        <v>294</v>
      </c>
      <c r="E57" s="11" t="s">
        <v>16</v>
      </c>
      <c r="F57" s="12">
        <v>0.0</v>
      </c>
      <c r="G57" s="14">
        <v>0.0</v>
      </c>
      <c r="H57" s="11" t="s">
        <v>45</v>
      </c>
      <c r="I57" s="11" t="s">
        <v>45</v>
      </c>
      <c r="J57" s="14">
        <v>0.0</v>
      </c>
      <c r="K57" s="11" t="s">
        <v>45</v>
      </c>
      <c r="L57" s="12">
        <v>0.0</v>
      </c>
      <c r="M57" s="18">
        <f t="shared" si="3"/>
        <v>0</v>
      </c>
      <c r="N57" s="20">
        <f t="shared" si="4"/>
        <v>0</v>
      </c>
      <c r="O57" s="21" t="s">
        <v>295</v>
      </c>
      <c r="P57" s="24" t="s">
        <v>276</v>
      </c>
      <c r="Q57" s="11" t="s">
        <v>94</v>
      </c>
    </row>
    <row r="58" ht="15.0" customHeight="1">
      <c r="A58" s="11" t="s">
        <v>296</v>
      </c>
      <c r="B58" s="11" t="s">
        <v>168</v>
      </c>
      <c r="C58" s="11">
        <v>2011.0</v>
      </c>
      <c r="D58" s="11" t="s">
        <v>297</v>
      </c>
      <c r="E58" s="11" t="s">
        <v>16</v>
      </c>
      <c r="F58" s="12">
        <v>0.0</v>
      </c>
      <c r="G58" s="14">
        <v>0.0</v>
      </c>
      <c r="H58" s="11" t="s">
        <v>45</v>
      </c>
      <c r="I58" s="11" t="s">
        <v>45</v>
      </c>
      <c r="J58" s="14">
        <v>0.0</v>
      </c>
      <c r="K58" s="11" t="s">
        <v>45</v>
      </c>
      <c r="L58" s="12">
        <v>0.0</v>
      </c>
      <c r="M58" s="18">
        <f t="shared" si="3"/>
        <v>0</v>
      </c>
      <c r="N58" s="20">
        <f t="shared" si="4"/>
        <v>0</v>
      </c>
      <c r="O58" s="21" t="s">
        <v>289</v>
      </c>
      <c r="P58" s="24" t="s">
        <v>272</v>
      </c>
      <c r="Q58" s="11" t="s">
        <v>94</v>
      </c>
    </row>
    <row r="59" ht="15.0" customHeight="1">
      <c r="A59" s="11" t="s">
        <v>298</v>
      </c>
      <c r="B59" s="11" t="s">
        <v>234</v>
      </c>
      <c r="C59" s="11">
        <v>2011.0</v>
      </c>
      <c r="D59" s="11" t="s">
        <v>299</v>
      </c>
      <c r="E59" s="11" t="s">
        <v>253</v>
      </c>
      <c r="F59" s="12">
        <v>0.0</v>
      </c>
      <c r="G59" s="14">
        <v>0.0</v>
      </c>
      <c r="H59" s="11" t="s">
        <v>45</v>
      </c>
      <c r="I59" s="11" t="s">
        <v>45</v>
      </c>
      <c r="J59" s="14">
        <v>0.0</v>
      </c>
      <c r="K59" s="11" t="s">
        <v>45</v>
      </c>
      <c r="L59" s="12">
        <v>0.0</v>
      </c>
      <c r="M59" s="18">
        <f t="shared" si="3"/>
        <v>0</v>
      </c>
      <c r="N59" s="20">
        <f t="shared" si="4"/>
        <v>0</v>
      </c>
      <c r="O59" s="21" t="s">
        <v>300</v>
      </c>
      <c r="P59" s="24" t="s">
        <v>272</v>
      </c>
      <c r="Q59" s="11" t="s">
        <v>94</v>
      </c>
    </row>
    <row r="60" ht="15.0" customHeight="1">
      <c r="A60" s="11" t="s">
        <v>301</v>
      </c>
      <c r="B60" s="11" t="s">
        <v>234</v>
      </c>
      <c r="C60" s="11">
        <v>2013.0</v>
      </c>
      <c r="D60" s="11" t="s">
        <v>302</v>
      </c>
      <c r="E60" s="11" t="s">
        <v>253</v>
      </c>
      <c r="F60" s="12">
        <v>0.0</v>
      </c>
      <c r="G60" s="14">
        <v>0.0</v>
      </c>
      <c r="H60" s="11" t="s">
        <v>45</v>
      </c>
      <c r="I60" s="11" t="s">
        <v>45</v>
      </c>
      <c r="J60" s="14">
        <v>0.0</v>
      </c>
      <c r="K60" s="11" t="s">
        <v>45</v>
      </c>
      <c r="L60" s="12">
        <v>0.0</v>
      </c>
      <c r="M60" s="18">
        <f t="shared" si="3"/>
        <v>0</v>
      </c>
      <c r="N60" s="20">
        <f t="shared" si="4"/>
        <v>0</v>
      </c>
      <c r="O60" s="21" t="s">
        <v>303</v>
      </c>
      <c r="P60" s="24" t="s">
        <v>304</v>
      </c>
      <c r="Q60" s="11" t="s">
        <v>175</v>
      </c>
    </row>
    <row r="61" ht="15.0" customHeight="1">
      <c r="A61" s="11" t="s">
        <v>305</v>
      </c>
      <c r="B61" s="11" t="s">
        <v>97</v>
      </c>
      <c r="C61" s="11">
        <v>2010.0</v>
      </c>
      <c r="D61" s="11" t="s">
        <v>10</v>
      </c>
      <c r="E61" s="11" t="s">
        <v>16</v>
      </c>
      <c r="F61" s="12">
        <v>0.0</v>
      </c>
      <c r="G61" s="14">
        <v>0.0</v>
      </c>
      <c r="H61" s="11" t="s">
        <v>45</v>
      </c>
      <c r="I61" s="11" t="s">
        <v>45</v>
      </c>
      <c r="J61" s="14">
        <v>0.0</v>
      </c>
      <c r="K61" s="11" t="s">
        <v>45</v>
      </c>
      <c r="L61" s="12">
        <v>0.0</v>
      </c>
      <c r="M61" s="18">
        <f t="shared" si="3"/>
        <v>0</v>
      </c>
      <c r="N61" s="20">
        <f t="shared" si="4"/>
        <v>0</v>
      </c>
      <c r="O61" s="21" t="s">
        <v>306</v>
      </c>
      <c r="P61" s="24" t="s">
        <v>276</v>
      </c>
      <c r="Q61" s="11" t="s">
        <v>94</v>
      </c>
    </row>
    <row r="62" ht="15.0" customHeight="1">
      <c r="A62" s="11" t="s">
        <v>307</v>
      </c>
      <c r="B62" s="11" t="s">
        <v>37</v>
      </c>
      <c r="C62" s="11">
        <v>2013.0</v>
      </c>
      <c r="D62" s="11" t="s">
        <v>308</v>
      </c>
      <c r="E62" s="11" t="s">
        <v>16</v>
      </c>
      <c r="F62" s="12">
        <v>0.0</v>
      </c>
      <c r="G62" s="14">
        <v>0.0</v>
      </c>
      <c r="H62" s="11" t="s">
        <v>45</v>
      </c>
      <c r="I62" s="11" t="s">
        <v>45</v>
      </c>
      <c r="J62" s="14">
        <v>0.0</v>
      </c>
      <c r="K62" s="11" t="s">
        <v>45</v>
      </c>
      <c r="L62" s="12">
        <v>0.0</v>
      </c>
      <c r="M62" s="18">
        <f t="shared" si="3"/>
        <v>0</v>
      </c>
      <c r="N62" s="20">
        <f t="shared" si="4"/>
        <v>0</v>
      </c>
      <c r="O62" s="21" t="s">
        <v>289</v>
      </c>
      <c r="P62" s="24" t="s">
        <v>304</v>
      </c>
      <c r="Q62" s="11" t="s">
        <v>94</v>
      </c>
    </row>
    <row r="63" ht="15.0" customHeight="1">
      <c r="A63" s="11" t="s">
        <v>309</v>
      </c>
      <c r="B63" s="11" t="s">
        <v>234</v>
      </c>
      <c r="C63" s="11">
        <v>2013.0</v>
      </c>
      <c r="D63" s="11" t="s">
        <v>310</v>
      </c>
      <c r="E63" s="11" t="s">
        <v>16</v>
      </c>
      <c r="F63" s="12">
        <v>0.0</v>
      </c>
      <c r="G63" s="14">
        <v>0.0</v>
      </c>
      <c r="H63" s="11" t="s">
        <v>45</v>
      </c>
      <c r="I63" s="11" t="s">
        <v>45</v>
      </c>
      <c r="J63" s="14">
        <v>0.0</v>
      </c>
      <c r="K63" s="11" t="s">
        <v>45</v>
      </c>
      <c r="L63" s="12">
        <v>0.0</v>
      </c>
      <c r="M63" s="18">
        <f t="shared" si="3"/>
        <v>0</v>
      </c>
      <c r="N63" s="20">
        <f t="shared" si="4"/>
        <v>0</v>
      </c>
      <c r="O63" s="21" t="s">
        <v>311</v>
      </c>
      <c r="P63" s="24" t="s">
        <v>304</v>
      </c>
      <c r="Q63" s="11" t="s">
        <v>94</v>
      </c>
    </row>
    <row r="64" ht="27.75" customHeight="1">
      <c r="A64" s="11" t="s">
        <v>312</v>
      </c>
      <c r="B64" s="11" t="s">
        <v>313</v>
      </c>
      <c r="C64" s="11">
        <v>2016.0</v>
      </c>
      <c r="D64" s="11" t="s">
        <v>235</v>
      </c>
      <c r="E64" s="11" t="s">
        <v>16</v>
      </c>
      <c r="F64" s="12">
        <v>7.0</v>
      </c>
      <c r="G64" s="14">
        <v>0.0</v>
      </c>
      <c r="H64" s="11" t="s">
        <v>45</v>
      </c>
      <c r="I64" s="11" t="s">
        <v>45</v>
      </c>
      <c r="J64" s="14">
        <v>0.0</v>
      </c>
      <c r="K64" s="11" t="s">
        <v>45</v>
      </c>
      <c r="L64" s="12">
        <v>0.0</v>
      </c>
      <c r="M64" s="18">
        <f t="shared" si="3"/>
        <v>7</v>
      </c>
      <c r="N64" s="20">
        <f t="shared" si="4"/>
        <v>0</v>
      </c>
      <c r="O64" s="21" t="s">
        <v>314</v>
      </c>
      <c r="P64" s="24" t="s">
        <v>315</v>
      </c>
      <c r="Q64" s="11" t="s">
        <v>175</v>
      </c>
    </row>
    <row r="65" ht="15.0" customHeight="1">
      <c r="A65" s="11" t="s">
        <v>316</v>
      </c>
      <c r="B65" s="11" t="s">
        <v>234</v>
      </c>
      <c r="C65" s="11">
        <v>2014.0</v>
      </c>
      <c r="D65" s="11" t="s">
        <v>317</v>
      </c>
      <c r="E65" s="11" t="s">
        <v>16</v>
      </c>
      <c r="F65" s="12">
        <v>0.5</v>
      </c>
      <c r="G65" s="14">
        <v>0.0</v>
      </c>
      <c r="H65" s="11" t="s">
        <v>45</v>
      </c>
      <c r="I65" s="11" t="s">
        <v>45</v>
      </c>
      <c r="J65" s="14">
        <v>0.0</v>
      </c>
      <c r="K65" s="11" t="s">
        <v>45</v>
      </c>
      <c r="L65" s="12">
        <v>0.0</v>
      </c>
      <c r="M65" s="18">
        <f t="shared" si="3"/>
        <v>0.5</v>
      </c>
      <c r="N65" s="20">
        <f t="shared" si="4"/>
        <v>0</v>
      </c>
      <c r="O65" s="21" t="s">
        <v>318</v>
      </c>
      <c r="P65" s="24" t="s">
        <v>319</v>
      </c>
      <c r="Q65" s="11" t="s">
        <v>175</v>
      </c>
    </row>
    <row r="66" ht="15.0" customHeight="1">
      <c r="A66" s="11" t="s">
        <v>320</v>
      </c>
      <c r="B66" s="11" t="s">
        <v>97</v>
      </c>
      <c r="C66" s="11">
        <v>2013.0</v>
      </c>
      <c r="D66" s="11" t="s">
        <v>85</v>
      </c>
      <c r="E66" s="11" t="s">
        <v>16</v>
      </c>
      <c r="F66" s="12">
        <v>0.5</v>
      </c>
      <c r="G66" s="14">
        <v>0.0</v>
      </c>
      <c r="H66" s="11" t="s">
        <v>45</v>
      </c>
      <c r="I66" s="11" t="s">
        <v>45</v>
      </c>
      <c r="J66" s="14">
        <v>0.0</v>
      </c>
      <c r="K66" s="11" t="s">
        <v>45</v>
      </c>
      <c r="L66" s="12">
        <v>0.0</v>
      </c>
      <c r="M66" s="18">
        <f t="shared" si="3"/>
        <v>0.5</v>
      </c>
      <c r="N66" s="20">
        <f t="shared" si="4"/>
        <v>0</v>
      </c>
      <c r="O66" s="21" t="s">
        <v>321</v>
      </c>
      <c r="P66" s="24" t="s">
        <v>304</v>
      </c>
      <c r="Q66" s="11" t="s">
        <v>175</v>
      </c>
    </row>
    <row r="67" ht="15.0" customHeight="1">
      <c r="A67" s="11" t="s">
        <v>322</v>
      </c>
      <c r="B67" s="11" t="s">
        <v>97</v>
      </c>
      <c r="C67" s="11">
        <v>2014.0</v>
      </c>
      <c r="D67" s="11" t="s">
        <v>323</v>
      </c>
      <c r="E67" s="11" t="s">
        <v>253</v>
      </c>
      <c r="F67" s="12">
        <v>0.0</v>
      </c>
      <c r="G67" s="14">
        <v>0.0</v>
      </c>
      <c r="H67" s="11" t="s">
        <v>45</v>
      </c>
      <c r="I67" s="11" t="s">
        <v>45</v>
      </c>
      <c r="J67" s="14">
        <v>0.0</v>
      </c>
      <c r="K67" s="11" t="s">
        <v>45</v>
      </c>
      <c r="L67" s="12">
        <v>0.0</v>
      </c>
      <c r="M67" s="18">
        <f t="shared" si="3"/>
        <v>0</v>
      </c>
      <c r="N67" s="20">
        <f t="shared" si="4"/>
        <v>0</v>
      </c>
      <c r="O67" s="21" t="s">
        <v>324</v>
      </c>
      <c r="P67" s="24" t="s">
        <v>319</v>
      </c>
      <c r="Q67" s="11" t="s">
        <v>148</v>
      </c>
    </row>
    <row r="68" ht="15.0" customHeight="1">
      <c r="A68" s="11" t="s">
        <v>325</v>
      </c>
      <c r="B68" s="11" t="s">
        <v>160</v>
      </c>
      <c r="C68" s="11">
        <v>2013.0</v>
      </c>
      <c r="D68" s="11" t="s">
        <v>326</v>
      </c>
      <c r="E68" s="11" t="s">
        <v>16</v>
      </c>
      <c r="F68" s="12">
        <v>0.0</v>
      </c>
      <c r="G68" s="14">
        <v>0.0</v>
      </c>
      <c r="H68" s="11" t="s">
        <v>45</v>
      </c>
      <c r="I68" s="11" t="s">
        <v>45</v>
      </c>
      <c r="J68" s="14">
        <v>0.0</v>
      </c>
      <c r="K68" s="11" t="s">
        <v>45</v>
      </c>
      <c r="L68" s="12">
        <v>0.0</v>
      </c>
      <c r="M68" s="18">
        <f t="shared" si="3"/>
        <v>0</v>
      </c>
      <c r="N68" s="20">
        <f t="shared" si="4"/>
        <v>0</v>
      </c>
      <c r="O68" s="21" t="s">
        <v>306</v>
      </c>
      <c r="P68" s="24" t="s">
        <v>304</v>
      </c>
      <c r="Q68" s="11" t="s">
        <v>94</v>
      </c>
    </row>
    <row r="69" ht="15.0" customHeight="1">
      <c r="A69" s="11" t="s">
        <v>327</v>
      </c>
      <c r="B69" s="11" t="s">
        <v>153</v>
      </c>
      <c r="C69" s="11">
        <v>2013.0</v>
      </c>
      <c r="D69" s="11" t="s">
        <v>328</v>
      </c>
      <c r="E69" s="11" t="s">
        <v>253</v>
      </c>
      <c r="F69" s="12">
        <v>0.0</v>
      </c>
      <c r="G69" s="14">
        <v>0.0</v>
      </c>
      <c r="H69" s="11" t="s">
        <v>45</v>
      </c>
      <c r="I69" s="11" t="s">
        <v>45</v>
      </c>
      <c r="J69" s="14">
        <v>0.0</v>
      </c>
      <c r="K69" s="11" t="s">
        <v>45</v>
      </c>
      <c r="L69" s="12">
        <v>0.0</v>
      </c>
      <c r="M69" s="18">
        <f t="shared" si="3"/>
        <v>0</v>
      </c>
      <c r="N69" s="20">
        <f t="shared" si="4"/>
        <v>0</v>
      </c>
      <c r="O69" s="21" t="s">
        <v>329</v>
      </c>
      <c r="P69" s="24" t="s">
        <v>304</v>
      </c>
      <c r="Q69" s="11" t="s">
        <v>175</v>
      </c>
    </row>
    <row r="70" ht="15.0" customHeight="1">
      <c r="A70" s="11" t="s">
        <v>330</v>
      </c>
      <c r="B70" s="11" t="s">
        <v>168</v>
      </c>
      <c r="C70" s="11">
        <v>2012.0</v>
      </c>
      <c r="D70" s="11" t="s">
        <v>331</v>
      </c>
      <c r="E70" s="11" t="s">
        <v>253</v>
      </c>
      <c r="F70" s="12">
        <v>0.0</v>
      </c>
      <c r="G70" s="14">
        <v>0.0</v>
      </c>
      <c r="H70" s="11" t="s">
        <v>45</v>
      </c>
      <c r="I70" s="11" t="s">
        <v>45</v>
      </c>
      <c r="J70" s="14">
        <v>0.0</v>
      </c>
      <c r="K70" s="11" t="s">
        <v>45</v>
      </c>
      <c r="L70" s="12">
        <v>0.0</v>
      </c>
      <c r="M70" s="18">
        <f t="shared" si="3"/>
        <v>0</v>
      </c>
      <c r="N70" s="20">
        <f t="shared" si="4"/>
        <v>0</v>
      </c>
      <c r="O70" s="21" t="s">
        <v>289</v>
      </c>
      <c r="P70" s="24" t="s">
        <v>332</v>
      </c>
      <c r="Q70" s="11" t="s">
        <v>94</v>
      </c>
    </row>
    <row r="71" ht="27.75" customHeight="1">
      <c r="A71" s="11" t="s">
        <v>333</v>
      </c>
      <c r="B71" s="11" t="s">
        <v>37</v>
      </c>
      <c r="C71" s="11">
        <v>2012.0</v>
      </c>
      <c r="D71" s="11" t="s">
        <v>96</v>
      </c>
      <c r="E71" s="11" t="s">
        <v>16</v>
      </c>
      <c r="F71" s="12">
        <v>6.0</v>
      </c>
      <c r="G71" s="14">
        <v>0.0</v>
      </c>
      <c r="H71" s="11" t="s">
        <v>45</v>
      </c>
      <c r="I71" s="11" t="s">
        <v>45</v>
      </c>
      <c r="J71" s="14">
        <v>0.0</v>
      </c>
      <c r="K71" s="11" t="s">
        <v>45</v>
      </c>
      <c r="L71" s="12">
        <v>0.0</v>
      </c>
      <c r="M71" s="18">
        <f t="shared" si="3"/>
        <v>6</v>
      </c>
      <c r="N71" s="20">
        <f t="shared" si="4"/>
        <v>0</v>
      </c>
      <c r="O71" s="21" t="s">
        <v>334</v>
      </c>
      <c r="P71" s="24" t="s">
        <v>332</v>
      </c>
      <c r="Q71" s="11" t="s">
        <v>175</v>
      </c>
    </row>
    <row r="72" ht="15.0" customHeight="1">
      <c r="A72" s="11" t="s">
        <v>335</v>
      </c>
      <c r="B72" s="11" t="s">
        <v>234</v>
      </c>
      <c r="C72" s="11">
        <v>2013.0</v>
      </c>
      <c r="D72" s="11" t="s">
        <v>128</v>
      </c>
      <c r="E72" s="11" t="s">
        <v>253</v>
      </c>
      <c r="F72" s="12">
        <v>0.0</v>
      </c>
      <c r="G72" s="14">
        <v>0.0</v>
      </c>
      <c r="H72" s="11" t="s">
        <v>45</v>
      </c>
      <c r="I72" s="11" t="s">
        <v>45</v>
      </c>
      <c r="J72" s="14">
        <v>0.0</v>
      </c>
      <c r="K72" s="11" t="s">
        <v>45</v>
      </c>
      <c r="L72" s="12">
        <v>0.0</v>
      </c>
      <c r="M72" s="18">
        <f t="shared" si="3"/>
        <v>0</v>
      </c>
      <c r="N72" s="20">
        <f t="shared" si="4"/>
        <v>0</v>
      </c>
      <c r="O72" s="21" t="s">
        <v>336</v>
      </c>
      <c r="P72" s="24" t="s">
        <v>304</v>
      </c>
      <c r="Q72" s="11" t="s">
        <v>94</v>
      </c>
    </row>
    <row r="73" ht="27.75" customHeight="1">
      <c r="A73" s="11" t="s">
        <v>337</v>
      </c>
      <c r="B73" s="11" t="s">
        <v>338</v>
      </c>
      <c r="C73" s="11">
        <v>2016.0</v>
      </c>
      <c r="D73" s="11" t="s">
        <v>339</v>
      </c>
      <c r="E73" s="11" t="s">
        <v>16</v>
      </c>
      <c r="F73" s="12">
        <v>1.0</v>
      </c>
      <c r="G73" s="14">
        <v>0.0</v>
      </c>
      <c r="H73" s="11" t="s">
        <v>45</v>
      </c>
      <c r="I73" s="11" t="s">
        <v>45</v>
      </c>
      <c r="J73" s="14">
        <v>0.0</v>
      </c>
      <c r="K73" s="11" t="s">
        <v>45</v>
      </c>
      <c r="L73" s="12">
        <v>0.0</v>
      </c>
      <c r="M73" s="18">
        <f t="shared" si="3"/>
        <v>1</v>
      </c>
      <c r="N73" s="20">
        <f t="shared" si="4"/>
        <v>0</v>
      </c>
      <c r="O73" s="21" t="s">
        <v>340</v>
      </c>
      <c r="P73" s="24" t="s">
        <v>315</v>
      </c>
      <c r="Q73" s="11" t="s">
        <v>175</v>
      </c>
    </row>
    <row r="74" ht="15.0" customHeight="1">
      <c r="A74" s="11" t="s">
        <v>341</v>
      </c>
      <c r="B74" s="11" t="s">
        <v>241</v>
      </c>
      <c r="C74" s="11">
        <v>2015.0</v>
      </c>
      <c r="D74" s="11" t="s">
        <v>85</v>
      </c>
      <c r="E74" s="11" t="s">
        <v>22</v>
      </c>
      <c r="F74" s="12">
        <v>0.5</v>
      </c>
      <c r="G74" s="14">
        <v>0.0</v>
      </c>
      <c r="H74" s="11" t="s">
        <v>45</v>
      </c>
      <c r="I74" s="11" t="s">
        <v>45</v>
      </c>
      <c r="J74" s="14">
        <v>0.0</v>
      </c>
      <c r="K74" s="11" t="s">
        <v>45</v>
      </c>
      <c r="L74" s="12">
        <v>0.0</v>
      </c>
      <c r="M74" s="18">
        <f t="shared" si="3"/>
        <v>0.5</v>
      </c>
      <c r="N74" s="20">
        <f t="shared" si="4"/>
        <v>0</v>
      </c>
      <c r="O74" s="21" t="s">
        <v>342</v>
      </c>
      <c r="P74" s="24" t="s">
        <v>343</v>
      </c>
      <c r="Q74" s="11" t="s">
        <v>175</v>
      </c>
    </row>
    <row r="75" ht="27.75" customHeight="1">
      <c r="A75" s="11" t="s">
        <v>344</v>
      </c>
      <c r="B75" s="11" t="s">
        <v>168</v>
      </c>
      <c r="C75" s="11">
        <v>2017.0</v>
      </c>
      <c r="D75" s="11" t="s">
        <v>345</v>
      </c>
      <c r="E75" s="11" t="s">
        <v>16</v>
      </c>
      <c r="F75" s="12">
        <v>6.0</v>
      </c>
      <c r="G75" s="14">
        <v>0.0</v>
      </c>
      <c r="H75" s="11" t="s">
        <v>45</v>
      </c>
      <c r="I75" s="11" t="s">
        <v>45</v>
      </c>
      <c r="J75" s="14">
        <v>0.0</v>
      </c>
      <c r="K75" s="11" t="s">
        <v>45</v>
      </c>
      <c r="L75" s="12">
        <v>0.0</v>
      </c>
      <c r="M75" s="18">
        <f t="shared" si="3"/>
        <v>6</v>
      </c>
      <c r="N75" s="20">
        <f t="shared" si="4"/>
        <v>0</v>
      </c>
      <c r="O75" s="21" t="s">
        <v>346</v>
      </c>
      <c r="P75" s="24" t="s">
        <v>347</v>
      </c>
      <c r="Q75" s="11" t="s">
        <v>175</v>
      </c>
    </row>
    <row r="76" ht="15.0" customHeight="1">
      <c r="A76" s="11" t="s">
        <v>348</v>
      </c>
      <c r="B76" s="11" t="s">
        <v>313</v>
      </c>
      <c r="C76" s="11">
        <v>2017.0</v>
      </c>
      <c r="D76" s="11" t="s">
        <v>128</v>
      </c>
      <c r="E76" s="11" t="s">
        <v>16</v>
      </c>
      <c r="F76" s="12">
        <v>3.0</v>
      </c>
      <c r="G76" s="14">
        <v>0.0</v>
      </c>
      <c r="H76" s="11" t="s">
        <v>45</v>
      </c>
      <c r="I76" s="11" t="s">
        <v>45</v>
      </c>
      <c r="J76" s="14">
        <v>0.0</v>
      </c>
      <c r="K76" s="11" t="s">
        <v>45</v>
      </c>
      <c r="L76" s="12">
        <v>0.0</v>
      </c>
      <c r="M76" s="18">
        <f t="shared" si="3"/>
        <v>3</v>
      </c>
      <c r="N76" s="20">
        <f t="shared" si="4"/>
        <v>0</v>
      </c>
      <c r="O76" s="21" t="s">
        <v>349</v>
      </c>
      <c r="P76" s="24" t="s">
        <v>347</v>
      </c>
      <c r="Q76" s="11" t="s">
        <v>175</v>
      </c>
    </row>
    <row r="77" ht="15.0" customHeight="1">
      <c r="A77" s="11" t="s">
        <v>350</v>
      </c>
      <c r="B77" s="11" t="s">
        <v>97</v>
      </c>
      <c r="C77" s="11">
        <v>2016.0</v>
      </c>
      <c r="D77" s="11" t="s">
        <v>79</v>
      </c>
      <c r="E77" s="11" t="s">
        <v>16</v>
      </c>
      <c r="F77" s="12">
        <v>1.5</v>
      </c>
      <c r="G77" s="14">
        <v>0.0</v>
      </c>
      <c r="H77" s="11" t="s">
        <v>45</v>
      </c>
      <c r="I77" s="11" t="s">
        <v>45</v>
      </c>
      <c r="J77" s="14">
        <v>0.0</v>
      </c>
      <c r="K77" s="11" t="s">
        <v>45</v>
      </c>
      <c r="L77" s="12">
        <v>0.0</v>
      </c>
      <c r="M77" s="18">
        <f t="shared" si="3"/>
        <v>1.5</v>
      </c>
      <c r="N77" s="20">
        <f t="shared" si="4"/>
        <v>0</v>
      </c>
      <c r="O77" s="21" t="s">
        <v>351</v>
      </c>
      <c r="P77" s="24" t="s">
        <v>315</v>
      </c>
      <c r="Q77" s="11" t="s">
        <v>175</v>
      </c>
    </row>
    <row r="78" ht="15.0" customHeight="1">
      <c r="A78" s="11" t="s">
        <v>352</v>
      </c>
      <c r="B78" s="11" t="s">
        <v>234</v>
      </c>
      <c r="C78" s="11">
        <v>2017.0</v>
      </c>
      <c r="D78" s="11" t="s">
        <v>10</v>
      </c>
      <c r="E78" s="11" t="s">
        <v>16</v>
      </c>
      <c r="F78" s="12">
        <v>0.0</v>
      </c>
      <c r="G78" s="14">
        <v>0.0</v>
      </c>
      <c r="H78" s="11" t="s">
        <v>45</v>
      </c>
      <c r="I78" s="11" t="s">
        <v>45</v>
      </c>
      <c r="J78" s="14">
        <v>0.0</v>
      </c>
      <c r="K78" s="11" t="s">
        <v>45</v>
      </c>
      <c r="L78" s="12">
        <v>0.0</v>
      </c>
      <c r="M78" s="18">
        <f t="shared" si="3"/>
        <v>0</v>
      </c>
      <c r="N78" s="20">
        <f t="shared" si="4"/>
        <v>0</v>
      </c>
      <c r="O78" s="21" t="s">
        <v>353</v>
      </c>
      <c r="P78" s="24" t="s">
        <v>347</v>
      </c>
      <c r="Q78" s="11" t="s">
        <v>94</v>
      </c>
    </row>
    <row r="79" ht="27.75" customHeight="1">
      <c r="A79" s="11" t="s">
        <v>354</v>
      </c>
      <c r="B79" s="11" t="s">
        <v>168</v>
      </c>
      <c r="C79" s="11">
        <v>2018.0</v>
      </c>
      <c r="D79" s="11" t="s">
        <v>355</v>
      </c>
      <c r="E79" s="11" t="s">
        <v>16</v>
      </c>
      <c r="F79" s="12">
        <v>2.0</v>
      </c>
      <c r="G79" s="14">
        <v>0.0</v>
      </c>
      <c r="H79" s="11" t="s">
        <v>45</v>
      </c>
      <c r="I79" s="11" t="s">
        <v>45</v>
      </c>
      <c r="J79" s="14">
        <v>0.0</v>
      </c>
      <c r="K79" s="11" t="s">
        <v>45</v>
      </c>
      <c r="L79" s="12">
        <v>0.0</v>
      </c>
      <c r="M79" s="18">
        <f t="shared" si="3"/>
        <v>2</v>
      </c>
      <c r="N79" s="20">
        <f t="shared" si="4"/>
        <v>0</v>
      </c>
      <c r="O79" s="21" t="s">
        <v>356</v>
      </c>
      <c r="P79" s="24" t="s">
        <v>357</v>
      </c>
      <c r="Q79" s="11" t="s">
        <v>175</v>
      </c>
    </row>
    <row r="80" ht="15.0" customHeight="1">
      <c r="A80" s="11" t="s">
        <v>358</v>
      </c>
      <c r="B80" s="11" t="s">
        <v>165</v>
      </c>
      <c r="C80" s="11">
        <v>2017.0</v>
      </c>
      <c r="D80" s="11" t="s">
        <v>359</v>
      </c>
      <c r="E80" s="11" t="s">
        <v>253</v>
      </c>
      <c r="F80" s="12">
        <v>0.0</v>
      </c>
      <c r="G80" s="14">
        <v>0.0</v>
      </c>
      <c r="H80" s="11" t="s">
        <v>45</v>
      </c>
      <c r="I80" s="11" t="s">
        <v>45</v>
      </c>
      <c r="J80" s="14">
        <v>0.0</v>
      </c>
      <c r="K80" s="11" t="s">
        <v>45</v>
      </c>
      <c r="L80" s="12">
        <v>0.0</v>
      </c>
      <c r="M80" s="18">
        <f t="shared" si="3"/>
        <v>0</v>
      </c>
      <c r="N80" s="20">
        <f t="shared" si="4"/>
        <v>0</v>
      </c>
      <c r="O80" s="21" t="s">
        <v>289</v>
      </c>
      <c r="P80" s="24" t="s">
        <v>347</v>
      </c>
      <c r="Q80" s="11" t="s">
        <v>94</v>
      </c>
    </row>
    <row r="81" ht="15.0" customHeight="1">
      <c r="A81" s="11" t="s">
        <v>360</v>
      </c>
      <c r="B81" s="11" t="s">
        <v>97</v>
      </c>
      <c r="C81" s="11">
        <v>2019.0</v>
      </c>
      <c r="D81" s="11" t="s">
        <v>72</v>
      </c>
      <c r="E81" s="11" t="s">
        <v>253</v>
      </c>
      <c r="F81" s="12">
        <v>0.0</v>
      </c>
      <c r="G81" s="14">
        <v>0.0</v>
      </c>
      <c r="H81" s="11" t="s">
        <v>45</v>
      </c>
      <c r="I81" s="11" t="s">
        <v>45</v>
      </c>
      <c r="J81" s="14">
        <v>0.0</v>
      </c>
      <c r="K81" s="11" t="s">
        <v>45</v>
      </c>
      <c r="L81" s="12">
        <v>0.0</v>
      </c>
      <c r="M81" s="18">
        <f t="shared" si="3"/>
        <v>0</v>
      </c>
      <c r="N81" s="20">
        <f t="shared" si="4"/>
        <v>0</v>
      </c>
      <c r="O81" s="21" t="s">
        <v>361</v>
      </c>
      <c r="P81" s="24" t="s">
        <v>362</v>
      </c>
      <c r="Q81" s="11" t="s">
        <v>175</v>
      </c>
    </row>
    <row r="82" ht="15.0" customHeight="1">
      <c r="A82" s="11" t="s">
        <v>363</v>
      </c>
      <c r="B82" s="11" t="s">
        <v>160</v>
      </c>
      <c r="C82" s="11">
        <v>2019.0</v>
      </c>
      <c r="D82" s="11" t="s">
        <v>364</v>
      </c>
      <c r="E82" s="11" t="s">
        <v>253</v>
      </c>
      <c r="F82" s="12">
        <v>0.0</v>
      </c>
      <c r="G82" s="14">
        <v>0.0</v>
      </c>
      <c r="H82" s="11" t="s">
        <v>45</v>
      </c>
      <c r="I82" s="11" t="s">
        <v>45</v>
      </c>
      <c r="J82" s="14">
        <v>0.0</v>
      </c>
      <c r="K82" s="11" t="s">
        <v>45</v>
      </c>
      <c r="L82" s="12">
        <v>0.0</v>
      </c>
      <c r="M82" s="18">
        <f t="shared" si="3"/>
        <v>0</v>
      </c>
      <c r="N82" s="20">
        <f t="shared" si="4"/>
        <v>0</v>
      </c>
      <c r="O82" s="21" t="s">
        <v>365</v>
      </c>
      <c r="P82" s="24" t="s">
        <v>362</v>
      </c>
      <c r="Q82" s="11" t="s">
        <v>175</v>
      </c>
    </row>
    <row r="83" ht="15.0" customHeight="1">
      <c r="A83" s="11" t="s">
        <v>366</v>
      </c>
      <c r="B83" s="11" t="s">
        <v>168</v>
      </c>
      <c r="C83" s="11">
        <v>2020.0</v>
      </c>
      <c r="D83" s="11" t="s">
        <v>134</v>
      </c>
      <c r="E83" s="11" t="s">
        <v>16</v>
      </c>
      <c r="F83" s="12">
        <v>3.0</v>
      </c>
      <c r="G83" s="14">
        <v>0.0</v>
      </c>
      <c r="H83" s="11" t="s">
        <v>45</v>
      </c>
      <c r="I83" s="11" t="s">
        <v>45</v>
      </c>
      <c r="J83" s="14">
        <v>0.0</v>
      </c>
      <c r="K83" s="11" t="s">
        <v>45</v>
      </c>
      <c r="L83" s="12">
        <v>0.0</v>
      </c>
      <c r="M83" s="18">
        <f t="shared" si="3"/>
        <v>3</v>
      </c>
      <c r="N83" s="20">
        <f t="shared" si="4"/>
        <v>0</v>
      </c>
      <c r="O83" s="21" t="s">
        <v>367</v>
      </c>
      <c r="P83" s="24" t="s">
        <v>368</v>
      </c>
      <c r="Q83" s="11" t="s">
        <v>175</v>
      </c>
    </row>
    <row r="84" ht="15.0" customHeight="1">
      <c r="A84" s="11" t="s">
        <v>369</v>
      </c>
      <c r="B84" s="11" t="s">
        <v>241</v>
      </c>
      <c r="C84" s="11">
        <v>2020.0</v>
      </c>
      <c r="D84" s="11" t="s">
        <v>317</v>
      </c>
      <c r="E84" s="11" t="s">
        <v>16</v>
      </c>
      <c r="F84" s="12">
        <v>2.5</v>
      </c>
      <c r="G84" s="14">
        <v>0.0</v>
      </c>
      <c r="H84" s="11" t="s">
        <v>45</v>
      </c>
      <c r="I84" s="11" t="s">
        <v>45</v>
      </c>
      <c r="J84" s="14">
        <v>0.0</v>
      </c>
      <c r="K84" s="11" t="s">
        <v>45</v>
      </c>
      <c r="L84" s="12">
        <v>0.0</v>
      </c>
      <c r="M84" s="18">
        <f t="shared" si="3"/>
        <v>2.5</v>
      </c>
      <c r="N84" s="20">
        <f t="shared" si="4"/>
        <v>0</v>
      </c>
      <c r="O84" s="21" t="s">
        <v>370</v>
      </c>
      <c r="P84" s="24" t="s">
        <v>368</v>
      </c>
      <c r="Q84" s="11" t="s">
        <v>175</v>
      </c>
    </row>
    <row r="85" ht="15.0" customHeight="1">
      <c r="A85" s="11" t="s">
        <v>371</v>
      </c>
      <c r="B85" s="11" t="s">
        <v>37</v>
      </c>
      <c r="C85" s="11">
        <v>2020.0</v>
      </c>
      <c r="D85" s="11" t="s">
        <v>317</v>
      </c>
      <c r="E85" s="11" t="s">
        <v>16</v>
      </c>
      <c r="F85" s="12">
        <v>2.5</v>
      </c>
      <c r="G85" s="14">
        <v>0.0</v>
      </c>
      <c r="H85" s="11" t="s">
        <v>45</v>
      </c>
      <c r="I85" s="11" t="s">
        <v>45</v>
      </c>
      <c r="J85" s="14">
        <v>0.0</v>
      </c>
      <c r="K85" s="11" t="s">
        <v>45</v>
      </c>
      <c r="L85" s="12">
        <v>0.0</v>
      </c>
      <c r="M85" s="18">
        <f t="shared" si="3"/>
        <v>2.5</v>
      </c>
      <c r="N85" s="20">
        <f t="shared" si="4"/>
        <v>0</v>
      </c>
      <c r="O85" s="21" t="s">
        <v>370</v>
      </c>
      <c r="P85" s="24" t="s">
        <v>368</v>
      </c>
      <c r="Q85" s="11" t="s">
        <v>175</v>
      </c>
    </row>
    <row r="86" ht="15.0" customHeight="1">
      <c r="A86" s="11" t="s">
        <v>372</v>
      </c>
      <c r="B86" s="11" t="s">
        <v>97</v>
      </c>
      <c r="C86" s="11">
        <v>2021.0</v>
      </c>
      <c r="D86" s="11" t="s">
        <v>373</v>
      </c>
      <c r="E86" s="11" t="s">
        <v>253</v>
      </c>
      <c r="F86" s="12">
        <v>0.0</v>
      </c>
      <c r="G86" s="14">
        <v>0.0</v>
      </c>
      <c r="H86" s="11" t="s">
        <v>45</v>
      </c>
      <c r="I86" s="11" t="s">
        <v>45</v>
      </c>
      <c r="J86" s="14">
        <v>0.0</v>
      </c>
      <c r="K86" s="11" t="s">
        <v>45</v>
      </c>
      <c r="L86" s="12">
        <v>0.0</v>
      </c>
      <c r="M86" s="18">
        <f t="shared" si="3"/>
        <v>0</v>
      </c>
      <c r="N86" s="20">
        <f t="shared" si="4"/>
        <v>0</v>
      </c>
      <c r="O86" s="21" t="s">
        <v>374</v>
      </c>
      <c r="P86" s="24" t="s">
        <v>375</v>
      </c>
      <c r="Q86" s="11" t="s">
        <v>94</v>
      </c>
    </row>
    <row r="87" ht="15.0" customHeight="1">
      <c r="A87" s="11" t="s">
        <v>376</v>
      </c>
      <c r="B87" s="11" t="s">
        <v>97</v>
      </c>
      <c r="C87" s="11">
        <v>2020.0</v>
      </c>
      <c r="D87" s="11" t="s">
        <v>377</v>
      </c>
      <c r="E87" s="11" t="s">
        <v>16</v>
      </c>
      <c r="F87" s="12">
        <v>0.0</v>
      </c>
      <c r="G87" s="14">
        <v>0.0</v>
      </c>
      <c r="H87" s="11" t="s">
        <v>45</v>
      </c>
      <c r="I87" s="11" t="s">
        <v>45</v>
      </c>
      <c r="J87" s="14">
        <v>0.0</v>
      </c>
      <c r="K87" s="11" t="s">
        <v>45</v>
      </c>
      <c r="L87" s="12">
        <v>0.0</v>
      </c>
      <c r="M87" s="18">
        <f t="shared" si="3"/>
        <v>0</v>
      </c>
      <c r="N87" s="20">
        <f t="shared" si="4"/>
        <v>0</v>
      </c>
      <c r="O87" s="21" t="s">
        <v>378</v>
      </c>
      <c r="P87" s="24" t="s">
        <v>368</v>
      </c>
      <c r="Q87" s="11" t="s">
        <v>94</v>
      </c>
    </row>
    <row r="88" ht="15.0" customHeight="1">
      <c r="A88" s="11" t="s">
        <v>379</v>
      </c>
      <c r="B88" s="11" t="s">
        <v>241</v>
      </c>
      <c r="C88" s="11">
        <v>2020.0</v>
      </c>
      <c r="D88" s="11" t="s">
        <v>380</v>
      </c>
      <c r="E88" s="11" t="s">
        <v>270</v>
      </c>
      <c r="F88" s="12">
        <v>0.0</v>
      </c>
      <c r="G88" s="14">
        <v>0.0</v>
      </c>
      <c r="H88" s="11" t="s">
        <v>45</v>
      </c>
      <c r="I88" s="11" t="s">
        <v>45</v>
      </c>
      <c r="J88" s="14">
        <v>0.0</v>
      </c>
      <c r="K88" s="11" t="s">
        <v>45</v>
      </c>
      <c r="L88" s="12">
        <v>0.0</v>
      </c>
      <c r="M88" s="18">
        <f t="shared" si="3"/>
        <v>0</v>
      </c>
      <c r="N88" s="20">
        <f t="shared" si="4"/>
        <v>0</v>
      </c>
      <c r="O88" s="21" t="s">
        <v>381</v>
      </c>
      <c r="P88" s="24" t="s">
        <v>368</v>
      </c>
      <c r="Q88" s="11" t="s">
        <v>175</v>
      </c>
    </row>
    <row r="89" ht="27.75" customHeight="1">
      <c r="A89" s="11" t="s">
        <v>382</v>
      </c>
      <c r="B89" s="11" t="s">
        <v>97</v>
      </c>
      <c r="C89" s="11">
        <v>2019.0</v>
      </c>
      <c r="D89" s="11" t="s">
        <v>383</v>
      </c>
      <c r="E89" s="11" t="s">
        <v>253</v>
      </c>
      <c r="F89" s="12">
        <v>0.0</v>
      </c>
      <c r="G89" s="14">
        <v>0.0</v>
      </c>
      <c r="H89" s="11" t="s">
        <v>45</v>
      </c>
      <c r="I89" s="11" t="s">
        <v>45</v>
      </c>
      <c r="J89" s="14">
        <v>0.0</v>
      </c>
      <c r="K89" s="11" t="s">
        <v>45</v>
      </c>
      <c r="L89" s="12">
        <v>0.0</v>
      </c>
      <c r="M89" s="18">
        <f t="shared" si="3"/>
        <v>0</v>
      </c>
      <c r="N89" s="20">
        <f t="shared" si="4"/>
        <v>0</v>
      </c>
      <c r="O89" s="21" t="s">
        <v>384</v>
      </c>
      <c r="P89" s="24" t="s">
        <v>362</v>
      </c>
      <c r="Q89" s="11" t="s">
        <v>175</v>
      </c>
    </row>
    <row r="90" ht="15.0" customHeight="1">
      <c r="A90" s="11" t="s">
        <v>385</v>
      </c>
      <c r="B90" s="11" t="s">
        <v>37</v>
      </c>
      <c r="C90" s="11">
        <v>2022.0</v>
      </c>
      <c r="D90" s="11" t="s">
        <v>10</v>
      </c>
      <c r="E90" s="11" t="s">
        <v>16</v>
      </c>
      <c r="F90" s="12">
        <v>10.0</v>
      </c>
      <c r="G90" s="14">
        <v>0.0</v>
      </c>
      <c r="H90" s="11" t="s">
        <v>45</v>
      </c>
      <c r="I90" s="11" t="s">
        <v>45</v>
      </c>
      <c r="J90" s="14">
        <v>0.0</v>
      </c>
      <c r="K90" s="11" t="s">
        <v>45</v>
      </c>
      <c r="L90" s="12">
        <v>0.0</v>
      </c>
      <c r="M90" s="18">
        <f t="shared" si="3"/>
        <v>10</v>
      </c>
      <c r="N90" s="20">
        <f t="shared" si="4"/>
        <v>0</v>
      </c>
      <c r="O90" s="21" t="s">
        <v>386</v>
      </c>
      <c r="P90" s="24" t="s">
        <v>387</v>
      </c>
      <c r="Q90" s="11" t="s">
        <v>175</v>
      </c>
    </row>
    <row r="91" ht="15.0" customHeight="1">
      <c r="A91" s="11" t="s">
        <v>388</v>
      </c>
      <c r="B91" s="11" t="s">
        <v>168</v>
      </c>
      <c r="C91" s="11">
        <v>2022.0</v>
      </c>
      <c r="D91" s="11" t="s">
        <v>373</v>
      </c>
      <c r="E91" s="11" t="s">
        <v>16</v>
      </c>
      <c r="F91" s="12">
        <v>1.0</v>
      </c>
      <c r="G91" s="14">
        <v>0.0</v>
      </c>
      <c r="H91" s="11" t="s">
        <v>45</v>
      </c>
      <c r="I91" s="11" t="s">
        <v>45</v>
      </c>
      <c r="J91" s="14">
        <v>0.0</v>
      </c>
      <c r="K91" s="11" t="s">
        <v>45</v>
      </c>
      <c r="L91" s="12">
        <v>0.0</v>
      </c>
      <c r="M91" s="18">
        <f t="shared" si="3"/>
        <v>1</v>
      </c>
      <c r="N91" s="20">
        <f t="shared" si="4"/>
        <v>0</v>
      </c>
      <c r="O91" s="21" t="s">
        <v>370</v>
      </c>
      <c r="P91" s="24" t="s">
        <v>387</v>
      </c>
      <c r="Q91" s="11" t="s">
        <v>175</v>
      </c>
    </row>
    <row r="92" ht="15.0" customHeight="1">
      <c r="A92" s="11" t="s">
        <v>389</v>
      </c>
      <c r="B92" s="11" t="s">
        <v>97</v>
      </c>
      <c r="C92" s="11">
        <v>2021.0</v>
      </c>
      <c r="D92" s="11" t="s">
        <v>390</v>
      </c>
      <c r="E92" s="11" t="s">
        <v>16</v>
      </c>
      <c r="F92" s="12">
        <v>1.0</v>
      </c>
      <c r="G92" s="14">
        <v>0.0</v>
      </c>
      <c r="H92" s="11" t="s">
        <v>45</v>
      </c>
      <c r="I92" s="11" t="s">
        <v>45</v>
      </c>
      <c r="J92" s="14">
        <v>0.0</v>
      </c>
      <c r="K92" s="11" t="s">
        <v>45</v>
      </c>
      <c r="L92" s="12">
        <v>0.0</v>
      </c>
      <c r="M92" s="18">
        <f t="shared" si="3"/>
        <v>1</v>
      </c>
      <c r="N92" s="20">
        <f t="shared" si="4"/>
        <v>0</v>
      </c>
      <c r="O92" s="21" t="s">
        <v>391</v>
      </c>
      <c r="P92" s="24" t="s">
        <v>368</v>
      </c>
      <c r="Q92" s="11" t="s">
        <v>94</v>
      </c>
    </row>
    <row r="93" ht="15.0" customHeight="1">
      <c r="A93" s="11" t="s">
        <v>392</v>
      </c>
      <c r="B93" s="11" t="s">
        <v>165</v>
      </c>
      <c r="C93" s="11">
        <v>2020.0</v>
      </c>
      <c r="D93" s="11" t="s">
        <v>393</v>
      </c>
      <c r="E93" s="11" t="s">
        <v>16</v>
      </c>
      <c r="F93" s="12">
        <v>0.5</v>
      </c>
      <c r="G93" s="14">
        <v>0.0</v>
      </c>
      <c r="H93" s="11" t="s">
        <v>45</v>
      </c>
      <c r="I93" s="11" t="s">
        <v>45</v>
      </c>
      <c r="J93" s="14">
        <v>0.0</v>
      </c>
      <c r="K93" s="11" t="s">
        <v>45</v>
      </c>
      <c r="L93" s="12">
        <v>0.0</v>
      </c>
      <c r="M93" s="18">
        <f t="shared" si="3"/>
        <v>0.5</v>
      </c>
      <c r="N93" s="20">
        <f t="shared" si="4"/>
        <v>0</v>
      </c>
      <c r="O93" s="21" t="s">
        <v>394</v>
      </c>
      <c r="P93" s="24" t="s">
        <v>368</v>
      </c>
      <c r="Q93" s="11" t="s">
        <v>175</v>
      </c>
    </row>
    <row r="94" ht="15.0" customHeight="1">
      <c r="A94" s="11" t="s">
        <v>395</v>
      </c>
      <c r="B94" s="11" t="s">
        <v>168</v>
      </c>
      <c r="C94" s="11">
        <v>2020.0</v>
      </c>
      <c r="D94" s="11" t="s">
        <v>396</v>
      </c>
      <c r="E94" s="11" t="s">
        <v>253</v>
      </c>
      <c r="F94" s="12">
        <v>0.0</v>
      </c>
      <c r="G94" s="14">
        <v>0.0</v>
      </c>
      <c r="H94" s="11" t="s">
        <v>45</v>
      </c>
      <c r="I94" s="11" t="s">
        <v>45</v>
      </c>
      <c r="J94" s="14">
        <v>0.0</v>
      </c>
      <c r="K94" s="11" t="s">
        <v>45</v>
      </c>
      <c r="L94" s="12">
        <v>0.0</v>
      </c>
      <c r="M94" s="18">
        <f t="shared" si="3"/>
        <v>0</v>
      </c>
      <c r="N94" s="20">
        <f t="shared" si="4"/>
        <v>0</v>
      </c>
      <c r="O94" s="21" t="s">
        <v>397</v>
      </c>
      <c r="P94" s="24" t="s">
        <v>368</v>
      </c>
      <c r="Q94" s="11" t="s">
        <v>94</v>
      </c>
    </row>
    <row r="95" ht="15.0" customHeight="1">
      <c r="A95" s="11" t="s">
        <v>398</v>
      </c>
      <c r="B95" s="11" t="s">
        <v>234</v>
      </c>
      <c r="C95" s="11">
        <v>2020.0</v>
      </c>
      <c r="D95" s="11" t="s">
        <v>380</v>
      </c>
      <c r="E95" s="11" t="s">
        <v>253</v>
      </c>
      <c r="F95" s="12">
        <v>0.0</v>
      </c>
      <c r="G95" s="14">
        <v>0.0</v>
      </c>
      <c r="H95" s="11" t="s">
        <v>45</v>
      </c>
      <c r="I95" s="11" t="s">
        <v>45</v>
      </c>
      <c r="J95" s="14">
        <v>0.0</v>
      </c>
      <c r="K95" s="11" t="s">
        <v>45</v>
      </c>
      <c r="L95" s="12">
        <v>0.0</v>
      </c>
      <c r="M95" s="18">
        <f t="shared" si="3"/>
        <v>0</v>
      </c>
      <c r="N95" s="20">
        <f t="shared" si="4"/>
        <v>0</v>
      </c>
      <c r="O95" s="21" t="s">
        <v>397</v>
      </c>
      <c r="P95" s="24" t="s">
        <v>368</v>
      </c>
      <c r="Q95" s="11" t="s">
        <v>94</v>
      </c>
    </row>
    <row r="96" ht="15.0" customHeight="1">
      <c r="A96" s="11" t="s">
        <v>399</v>
      </c>
      <c r="B96" s="11" t="s">
        <v>313</v>
      </c>
      <c r="C96" s="11">
        <v>2021.0</v>
      </c>
      <c r="D96" s="11" t="s">
        <v>134</v>
      </c>
      <c r="E96" s="11" t="s">
        <v>253</v>
      </c>
      <c r="F96" s="12">
        <v>0.0</v>
      </c>
      <c r="G96" s="14">
        <v>0.0</v>
      </c>
      <c r="H96" s="11" t="s">
        <v>45</v>
      </c>
      <c r="I96" s="11" t="s">
        <v>45</v>
      </c>
      <c r="J96" s="14">
        <v>0.0</v>
      </c>
      <c r="K96" s="11" t="s">
        <v>45</v>
      </c>
      <c r="L96" s="12">
        <v>0.0</v>
      </c>
      <c r="M96" s="18">
        <f t="shared" si="3"/>
        <v>0</v>
      </c>
      <c r="N96" s="20">
        <f t="shared" si="4"/>
        <v>0</v>
      </c>
      <c r="O96" s="21" t="s">
        <v>400</v>
      </c>
      <c r="P96" s="24" t="s">
        <v>375</v>
      </c>
      <c r="Q96" s="11" t="s">
        <v>175</v>
      </c>
    </row>
    <row r="97" ht="15.0" customHeight="1">
      <c r="A97" s="11" t="s">
        <v>401</v>
      </c>
      <c r="B97" s="11" t="s">
        <v>160</v>
      </c>
      <c r="C97" s="11">
        <v>2021.0</v>
      </c>
      <c r="D97" s="11" t="s">
        <v>402</v>
      </c>
      <c r="E97" s="11" t="s">
        <v>253</v>
      </c>
      <c r="F97" s="12">
        <v>0.0</v>
      </c>
      <c r="G97" s="14">
        <v>0.0</v>
      </c>
      <c r="H97" s="11" t="s">
        <v>45</v>
      </c>
      <c r="I97" s="11" t="s">
        <v>45</v>
      </c>
      <c r="J97" s="14">
        <v>0.0</v>
      </c>
      <c r="K97" s="11" t="s">
        <v>45</v>
      </c>
      <c r="L97" s="12">
        <v>0.0</v>
      </c>
      <c r="M97" s="18">
        <f t="shared" si="3"/>
        <v>0</v>
      </c>
      <c r="N97" s="20">
        <f t="shared" si="4"/>
        <v>0</v>
      </c>
      <c r="O97" s="21" t="s">
        <v>289</v>
      </c>
      <c r="P97" s="24" t="s">
        <v>375</v>
      </c>
      <c r="Q97" s="11" t="s">
        <v>175</v>
      </c>
    </row>
    <row r="98" ht="15.0" customHeight="1">
      <c r="A98" s="11" t="s">
        <v>403</v>
      </c>
      <c r="B98" s="11" t="s">
        <v>168</v>
      </c>
      <c r="C98" s="11">
        <v>2021.0</v>
      </c>
      <c r="D98" s="11" t="s">
        <v>404</v>
      </c>
      <c r="E98" s="11" t="s">
        <v>253</v>
      </c>
      <c r="F98" s="12">
        <v>0.0</v>
      </c>
      <c r="G98" s="14">
        <v>0.0</v>
      </c>
      <c r="H98" s="11" t="s">
        <v>45</v>
      </c>
      <c r="I98" s="11" t="s">
        <v>45</v>
      </c>
      <c r="J98" s="14">
        <v>0.0</v>
      </c>
      <c r="K98" s="11" t="s">
        <v>45</v>
      </c>
      <c r="L98" s="12">
        <v>0.0</v>
      </c>
      <c r="M98" s="18">
        <f t="shared" si="3"/>
        <v>0</v>
      </c>
      <c r="N98" s="20">
        <f t="shared" si="4"/>
        <v>0</v>
      </c>
      <c r="O98" s="21" t="s">
        <v>289</v>
      </c>
      <c r="P98" s="24" t="s">
        <v>375</v>
      </c>
      <c r="Q98" s="11" t="s">
        <v>175</v>
      </c>
    </row>
    <row r="99" ht="15.0" customHeight="1">
      <c r="A99" s="11" t="s">
        <v>405</v>
      </c>
      <c r="B99" s="11" t="s">
        <v>153</v>
      </c>
      <c r="C99" s="11">
        <v>2021.0</v>
      </c>
      <c r="D99" s="11" t="s">
        <v>406</v>
      </c>
      <c r="E99" s="11" t="s">
        <v>253</v>
      </c>
      <c r="F99" s="12">
        <v>0.0</v>
      </c>
      <c r="G99" s="14">
        <v>0.0</v>
      </c>
      <c r="H99" s="11" t="s">
        <v>45</v>
      </c>
      <c r="I99" s="11" t="s">
        <v>45</v>
      </c>
      <c r="J99" s="14">
        <v>0.0</v>
      </c>
      <c r="K99" s="11" t="s">
        <v>45</v>
      </c>
      <c r="L99" s="12">
        <v>0.0</v>
      </c>
      <c r="M99" s="18">
        <f t="shared" si="3"/>
        <v>0</v>
      </c>
      <c r="N99" s="20">
        <f t="shared" si="4"/>
        <v>0</v>
      </c>
      <c r="O99" s="21" t="s">
        <v>407</v>
      </c>
      <c r="P99" s="24" t="s">
        <v>375</v>
      </c>
      <c r="Q99" s="11" t="s">
        <v>175</v>
      </c>
    </row>
    <row r="100" ht="15.0" customHeight="1">
      <c r="A100" s="11" t="s">
        <v>408</v>
      </c>
      <c r="B100" s="11" t="s">
        <v>234</v>
      </c>
      <c r="C100" s="11">
        <v>2022.0</v>
      </c>
      <c r="D100" s="11" t="s">
        <v>409</v>
      </c>
      <c r="E100" s="11" t="s">
        <v>253</v>
      </c>
      <c r="F100" s="12">
        <v>0.0</v>
      </c>
      <c r="G100" s="14">
        <v>0.0</v>
      </c>
      <c r="H100" s="11" t="s">
        <v>45</v>
      </c>
      <c r="I100" s="11" t="s">
        <v>45</v>
      </c>
      <c r="J100" s="14">
        <v>0.0</v>
      </c>
      <c r="K100" s="11" t="s">
        <v>45</v>
      </c>
      <c r="L100" s="12">
        <v>0.0</v>
      </c>
      <c r="M100" s="18">
        <f t="shared" si="3"/>
        <v>0</v>
      </c>
      <c r="N100" s="20">
        <f t="shared" si="4"/>
        <v>0</v>
      </c>
      <c r="O100" s="21" t="s">
        <v>397</v>
      </c>
      <c r="P100" s="24" t="s">
        <v>387</v>
      </c>
      <c r="Q100" s="11" t="s">
        <v>175</v>
      </c>
    </row>
    <row r="101" ht="15.0" customHeight="1">
      <c r="A101" s="11" t="s">
        <v>410</v>
      </c>
      <c r="B101" s="11" t="s">
        <v>234</v>
      </c>
      <c r="C101" s="11">
        <v>2022.0</v>
      </c>
      <c r="D101" s="11" t="s">
        <v>121</v>
      </c>
      <c r="E101" s="11" t="s">
        <v>253</v>
      </c>
      <c r="F101" s="12">
        <v>0.0</v>
      </c>
      <c r="G101" s="14">
        <v>0.0</v>
      </c>
      <c r="H101" s="11" t="s">
        <v>45</v>
      </c>
      <c r="I101" s="11" t="s">
        <v>45</v>
      </c>
      <c r="J101" s="14">
        <v>0.0</v>
      </c>
      <c r="K101" s="11" t="s">
        <v>45</v>
      </c>
      <c r="L101" s="12">
        <v>0.0</v>
      </c>
      <c r="M101" s="18">
        <f t="shared" si="3"/>
        <v>0</v>
      </c>
      <c r="N101" s="20">
        <f t="shared" si="4"/>
        <v>0</v>
      </c>
      <c r="O101" s="21" t="s">
        <v>306</v>
      </c>
      <c r="P101" s="24" t="s">
        <v>387</v>
      </c>
      <c r="Q101" s="11" t="s">
        <v>175</v>
      </c>
    </row>
    <row r="102" ht="15.0" customHeight="1">
      <c r="A102" s="11" t="s">
        <v>411</v>
      </c>
      <c r="B102" s="11" t="s">
        <v>165</v>
      </c>
      <c r="C102" s="11">
        <v>2022.0</v>
      </c>
      <c r="D102" s="11" t="s">
        <v>230</v>
      </c>
      <c r="E102" s="11" t="s">
        <v>253</v>
      </c>
      <c r="F102" s="12">
        <v>0.0</v>
      </c>
      <c r="G102" s="14">
        <v>0.0</v>
      </c>
      <c r="H102" s="11" t="s">
        <v>45</v>
      </c>
      <c r="I102" s="11" t="s">
        <v>45</v>
      </c>
      <c r="J102" s="14">
        <v>0.0</v>
      </c>
      <c r="K102" s="11" t="s">
        <v>45</v>
      </c>
      <c r="L102" s="12">
        <v>0.0</v>
      </c>
      <c r="M102" s="18">
        <f t="shared" si="3"/>
        <v>0</v>
      </c>
      <c r="N102" s="20">
        <f t="shared" si="4"/>
        <v>0</v>
      </c>
      <c r="O102" s="21" t="s">
        <v>397</v>
      </c>
      <c r="P102" s="24" t="s">
        <v>387</v>
      </c>
      <c r="Q102" s="11" t="s">
        <v>94</v>
      </c>
    </row>
    <row r="103" ht="15.0" customHeight="1">
      <c r="A103" s="11" t="s">
        <v>412</v>
      </c>
      <c r="B103" s="11" t="s">
        <v>160</v>
      </c>
      <c r="C103" s="11">
        <v>2023.0</v>
      </c>
      <c r="D103" s="11" t="s">
        <v>238</v>
      </c>
      <c r="E103" s="11" t="s">
        <v>253</v>
      </c>
      <c r="F103" s="12">
        <v>0.0</v>
      </c>
      <c r="G103" s="14">
        <v>0.0</v>
      </c>
      <c r="H103" s="11" t="s">
        <v>45</v>
      </c>
      <c r="I103" s="11" t="s">
        <v>45</v>
      </c>
      <c r="J103" s="14">
        <v>0.0</v>
      </c>
      <c r="K103" s="11" t="s">
        <v>45</v>
      </c>
      <c r="L103" s="12">
        <v>0.0</v>
      </c>
      <c r="M103" s="18">
        <f t="shared" si="3"/>
        <v>0</v>
      </c>
      <c r="N103" s="20">
        <f t="shared" si="4"/>
        <v>0</v>
      </c>
      <c r="O103" s="21" t="s">
        <v>397</v>
      </c>
      <c r="P103" s="24" t="s">
        <v>413</v>
      </c>
      <c r="Q103" s="11" t="s">
        <v>175</v>
      </c>
    </row>
    <row r="104" ht="15.0" customHeight="1">
      <c r="A104" s="11" t="s">
        <v>414</v>
      </c>
      <c r="B104" s="11" t="s">
        <v>241</v>
      </c>
      <c r="C104" s="11">
        <v>2023.0</v>
      </c>
      <c r="D104" s="11" t="s">
        <v>264</v>
      </c>
      <c r="E104" s="11" t="s">
        <v>253</v>
      </c>
      <c r="F104" s="12">
        <v>0.0</v>
      </c>
      <c r="G104" s="14">
        <v>0.0</v>
      </c>
      <c r="H104" s="11" t="s">
        <v>45</v>
      </c>
      <c r="I104" s="11" t="s">
        <v>45</v>
      </c>
      <c r="J104" s="14">
        <v>0.0</v>
      </c>
      <c r="K104" s="11" t="s">
        <v>45</v>
      </c>
      <c r="L104" s="12">
        <v>0.0</v>
      </c>
      <c r="M104" s="18">
        <f t="shared" si="3"/>
        <v>0</v>
      </c>
      <c r="N104" s="20">
        <f t="shared" si="4"/>
        <v>0</v>
      </c>
      <c r="O104" s="21" t="s">
        <v>397</v>
      </c>
      <c r="P104" s="24" t="s">
        <v>413</v>
      </c>
      <c r="Q104" s="11" t="s">
        <v>175</v>
      </c>
    </row>
    <row r="105" ht="15.0" customHeight="1">
      <c r="A105" s="11" t="s">
        <v>415</v>
      </c>
      <c r="B105" s="11" t="s">
        <v>234</v>
      </c>
      <c r="C105" s="11">
        <v>2023.0</v>
      </c>
      <c r="D105" s="11" t="s">
        <v>406</v>
      </c>
      <c r="E105" s="11" t="s">
        <v>253</v>
      </c>
      <c r="F105" s="12">
        <v>0.0</v>
      </c>
      <c r="G105" s="14">
        <v>0.0</v>
      </c>
      <c r="H105" s="11" t="s">
        <v>45</v>
      </c>
      <c r="I105" s="11" t="s">
        <v>45</v>
      </c>
      <c r="J105" s="14">
        <v>0.0</v>
      </c>
      <c r="K105" s="11" t="s">
        <v>45</v>
      </c>
      <c r="L105" s="12">
        <v>0.0</v>
      </c>
      <c r="M105" s="18">
        <f t="shared" si="3"/>
        <v>0</v>
      </c>
      <c r="N105" s="20">
        <f t="shared" si="4"/>
        <v>0</v>
      </c>
      <c r="O105" s="21" t="s">
        <v>397</v>
      </c>
      <c r="P105" s="24" t="s">
        <v>413</v>
      </c>
      <c r="Q105" s="11" t="s">
        <v>175</v>
      </c>
    </row>
    <row r="106" ht="15.0" customHeight="1">
      <c r="A106" s="11" t="s">
        <v>416</v>
      </c>
      <c r="B106" s="11" t="s">
        <v>160</v>
      </c>
      <c r="C106" s="11">
        <v>2023.0</v>
      </c>
      <c r="D106" s="11" t="s">
        <v>417</v>
      </c>
      <c r="E106" s="11" t="s">
        <v>253</v>
      </c>
      <c r="F106" s="12">
        <v>0.0</v>
      </c>
      <c r="G106" s="14">
        <v>0.0</v>
      </c>
      <c r="H106" s="11" t="s">
        <v>45</v>
      </c>
      <c r="I106" s="11" t="s">
        <v>45</v>
      </c>
      <c r="J106" s="14">
        <v>0.0</v>
      </c>
      <c r="K106" s="11" t="s">
        <v>45</v>
      </c>
      <c r="L106" s="12">
        <v>0.0</v>
      </c>
      <c r="M106" s="18">
        <f t="shared" si="3"/>
        <v>0</v>
      </c>
      <c r="N106" s="20">
        <f t="shared" si="4"/>
        <v>0</v>
      </c>
      <c r="O106" s="21" t="s">
        <v>397</v>
      </c>
      <c r="P106" s="24" t="s">
        <v>413</v>
      </c>
      <c r="Q106" s="11" t="s">
        <v>175</v>
      </c>
    </row>
    <row r="107" ht="15.0" customHeight="1">
      <c r="A107" s="11" t="s">
        <v>418</v>
      </c>
      <c r="B107" s="11" t="s">
        <v>313</v>
      </c>
      <c r="C107" s="11">
        <v>2023.0</v>
      </c>
      <c r="D107" s="11" t="s">
        <v>419</v>
      </c>
      <c r="E107" s="11" t="s">
        <v>253</v>
      </c>
      <c r="F107" s="12">
        <v>0.0</v>
      </c>
      <c r="G107" s="14">
        <v>0.0</v>
      </c>
      <c r="H107" s="11" t="s">
        <v>45</v>
      </c>
      <c r="I107" s="11" t="s">
        <v>45</v>
      </c>
      <c r="J107" s="14">
        <v>0.0</v>
      </c>
      <c r="K107" s="11" t="s">
        <v>45</v>
      </c>
      <c r="L107" s="12">
        <v>0.0</v>
      </c>
      <c r="M107" s="18">
        <f t="shared" si="3"/>
        <v>0</v>
      </c>
      <c r="N107" s="20">
        <f t="shared" si="4"/>
        <v>0</v>
      </c>
      <c r="O107" s="21" t="s">
        <v>397</v>
      </c>
      <c r="P107" s="24" t="s">
        <v>413</v>
      </c>
      <c r="Q107" s="11" t="s">
        <v>175</v>
      </c>
    </row>
    <row r="108" ht="15.0" customHeight="1">
      <c r="A108" s="11" t="s">
        <v>420</v>
      </c>
      <c r="B108" s="11" t="s">
        <v>313</v>
      </c>
      <c r="C108" s="11">
        <v>2023.0</v>
      </c>
      <c r="D108" s="11" t="s">
        <v>421</v>
      </c>
      <c r="E108" s="11" t="s">
        <v>16</v>
      </c>
      <c r="F108" s="12">
        <v>0.3</v>
      </c>
      <c r="G108" s="14">
        <v>0.0</v>
      </c>
      <c r="H108" s="11" t="s">
        <v>45</v>
      </c>
      <c r="I108" s="11" t="s">
        <v>45</v>
      </c>
      <c r="J108" s="14">
        <v>0.0</v>
      </c>
      <c r="K108" s="11" t="s">
        <v>45</v>
      </c>
      <c r="L108" s="12">
        <v>0.0</v>
      </c>
      <c r="M108" s="18">
        <f t="shared" si="3"/>
        <v>0.3</v>
      </c>
      <c r="N108" s="20">
        <f t="shared" si="4"/>
        <v>0</v>
      </c>
      <c r="O108" s="21" t="s">
        <v>422</v>
      </c>
      <c r="P108" s="24" t="s">
        <v>413</v>
      </c>
      <c r="Q108" s="11" t="s">
        <v>175</v>
      </c>
    </row>
    <row r="109" ht="15.0" customHeight="1">
      <c r="A109" s="11" t="s">
        <v>423</v>
      </c>
      <c r="B109" s="11" t="s">
        <v>37</v>
      </c>
      <c r="C109" s="11">
        <v>2023.0</v>
      </c>
      <c r="D109" s="11" t="s">
        <v>424</v>
      </c>
      <c r="E109" s="11" t="s">
        <v>253</v>
      </c>
      <c r="F109" s="12">
        <v>0.0</v>
      </c>
      <c r="G109" s="14">
        <v>0.0</v>
      </c>
      <c r="H109" s="11" t="s">
        <v>45</v>
      </c>
      <c r="I109" s="11" t="s">
        <v>45</v>
      </c>
      <c r="J109" s="14">
        <v>0.0</v>
      </c>
      <c r="K109" s="11" t="s">
        <v>45</v>
      </c>
      <c r="L109" s="12">
        <v>0.0</v>
      </c>
      <c r="M109" s="18">
        <f t="shared" si="3"/>
        <v>0</v>
      </c>
      <c r="N109" s="20">
        <f t="shared" si="4"/>
        <v>0</v>
      </c>
      <c r="O109" s="21" t="s">
        <v>397</v>
      </c>
      <c r="P109" s="24" t="s">
        <v>413</v>
      </c>
      <c r="Q109" s="11" t="s">
        <v>94</v>
      </c>
    </row>
    <row r="110" ht="15.0" customHeight="1">
      <c r="A110" s="11" t="s">
        <v>425</v>
      </c>
      <c r="B110" s="11" t="s">
        <v>37</v>
      </c>
      <c r="C110" s="11">
        <v>2023.0</v>
      </c>
      <c r="D110" s="11" t="s">
        <v>426</v>
      </c>
      <c r="E110" s="11" t="s">
        <v>253</v>
      </c>
      <c r="F110" s="12">
        <v>0.0</v>
      </c>
      <c r="G110" s="14">
        <v>0.0</v>
      </c>
      <c r="H110" s="11" t="s">
        <v>45</v>
      </c>
      <c r="I110" s="11" t="s">
        <v>45</v>
      </c>
      <c r="J110" s="14">
        <v>0.0</v>
      </c>
      <c r="K110" s="11" t="s">
        <v>45</v>
      </c>
      <c r="L110" s="12">
        <v>0.0</v>
      </c>
      <c r="M110" s="18">
        <f t="shared" si="3"/>
        <v>0</v>
      </c>
      <c r="N110" s="20">
        <f t="shared" si="4"/>
        <v>0</v>
      </c>
      <c r="O110" s="21" t="s">
        <v>397</v>
      </c>
      <c r="P110" s="24" t="s">
        <v>413</v>
      </c>
      <c r="Q110" s="11" t="s">
        <v>94</v>
      </c>
    </row>
    <row r="111" ht="15.0" customHeight="1">
      <c r="A111" s="11" t="s">
        <v>427</v>
      </c>
      <c r="B111" s="11" t="s">
        <v>153</v>
      </c>
      <c r="C111" s="11">
        <v>2023.0</v>
      </c>
      <c r="D111" s="11" t="s">
        <v>428</v>
      </c>
      <c r="E111" s="11" t="s">
        <v>270</v>
      </c>
      <c r="F111" s="12">
        <v>0.0</v>
      </c>
      <c r="G111" s="14">
        <v>0.0</v>
      </c>
      <c r="H111" s="11" t="s">
        <v>45</v>
      </c>
      <c r="I111" s="11" t="s">
        <v>45</v>
      </c>
      <c r="J111" s="14">
        <v>0.0</v>
      </c>
      <c r="K111" s="11" t="s">
        <v>45</v>
      </c>
      <c r="L111" s="12">
        <v>0.0</v>
      </c>
      <c r="M111" s="18">
        <f t="shared" si="3"/>
        <v>0</v>
      </c>
      <c r="N111" s="20">
        <f t="shared" si="4"/>
        <v>0</v>
      </c>
      <c r="O111" s="21" t="s">
        <v>429</v>
      </c>
      <c r="P111" s="24" t="s">
        <v>413</v>
      </c>
      <c r="Q111" s="11" t="s">
        <v>175</v>
      </c>
    </row>
    <row r="112" ht="15.0" customHeight="1">
      <c r="A112" s="11" t="s">
        <v>430</v>
      </c>
      <c r="B112" s="11" t="s">
        <v>234</v>
      </c>
      <c r="C112" s="11">
        <v>2024.0</v>
      </c>
      <c r="D112" s="11" t="s">
        <v>431</v>
      </c>
      <c r="E112" s="11" t="s">
        <v>253</v>
      </c>
      <c r="F112" s="12">
        <v>0.0</v>
      </c>
      <c r="G112" s="14">
        <v>0.0</v>
      </c>
      <c r="H112" s="11" t="s">
        <v>45</v>
      </c>
      <c r="I112" s="11" t="s">
        <v>45</v>
      </c>
      <c r="J112" s="14">
        <v>0.0</v>
      </c>
      <c r="K112" s="11" t="s">
        <v>45</v>
      </c>
      <c r="L112" s="12">
        <v>0.0</v>
      </c>
      <c r="M112" s="18">
        <f t="shared" si="3"/>
        <v>0</v>
      </c>
      <c r="N112" s="20">
        <f t="shared" si="4"/>
        <v>0</v>
      </c>
      <c r="O112" s="21" t="s">
        <v>397</v>
      </c>
      <c r="P112" s="24" t="s">
        <v>432</v>
      </c>
      <c r="Q112" s="11" t="s">
        <v>175</v>
      </c>
    </row>
    <row r="113" ht="15.0" customHeight="1">
      <c r="A113" s="11" t="s">
        <v>433</v>
      </c>
      <c r="B113" s="11" t="s">
        <v>165</v>
      </c>
      <c r="C113" s="11">
        <v>2025.0</v>
      </c>
      <c r="D113" s="11" t="s">
        <v>39</v>
      </c>
      <c r="E113" s="11" t="s">
        <v>16</v>
      </c>
      <c r="F113" s="12">
        <v>5.0</v>
      </c>
      <c r="G113" s="14">
        <v>0.0</v>
      </c>
      <c r="H113" s="11" t="s">
        <v>45</v>
      </c>
      <c r="I113" s="11" t="s">
        <v>45</v>
      </c>
      <c r="J113" s="14">
        <v>0.0</v>
      </c>
      <c r="K113" s="11" t="s">
        <v>45</v>
      </c>
      <c r="L113" s="12">
        <v>0.0</v>
      </c>
      <c r="M113" s="18">
        <f t="shared" si="3"/>
        <v>5</v>
      </c>
      <c r="N113" s="20">
        <f t="shared" si="4"/>
        <v>0</v>
      </c>
      <c r="O113" s="21" t="s">
        <v>434</v>
      </c>
      <c r="P113" s="24" t="s">
        <v>435</v>
      </c>
      <c r="Q113" s="11" t="s">
        <v>175</v>
      </c>
    </row>
    <row r="114" ht="15.0" customHeight="1">
      <c r="A114" s="11" t="s">
        <v>436</v>
      </c>
      <c r="B114" s="11" t="s">
        <v>338</v>
      </c>
      <c r="C114" s="11">
        <v>2025.0</v>
      </c>
      <c r="D114" s="11" t="s">
        <v>437</v>
      </c>
      <c r="E114" s="11" t="s">
        <v>16</v>
      </c>
      <c r="F114" s="12">
        <v>3.0</v>
      </c>
      <c r="G114" s="14">
        <v>0.0</v>
      </c>
      <c r="H114" s="11" t="s">
        <v>45</v>
      </c>
      <c r="I114" s="11" t="s">
        <v>45</v>
      </c>
      <c r="J114" s="14">
        <v>0.0</v>
      </c>
      <c r="K114" s="11" t="s">
        <v>45</v>
      </c>
      <c r="L114" s="12">
        <v>0.0</v>
      </c>
      <c r="M114" s="18">
        <f t="shared" si="3"/>
        <v>3</v>
      </c>
      <c r="N114" s="20">
        <f t="shared" si="4"/>
        <v>0</v>
      </c>
      <c r="O114" s="21" t="s">
        <v>438</v>
      </c>
      <c r="P114" s="24" t="s">
        <v>435</v>
      </c>
      <c r="Q114" s="11" t="s">
        <v>175</v>
      </c>
    </row>
    <row r="115" ht="15.0" customHeight="1">
      <c r="A115" s="11" t="s">
        <v>439</v>
      </c>
      <c r="B115" s="11" t="s">
        <v>165</v>
      </c>
      <c r="C115" s="11">
        <v>2025.0</v>
      </c>
      <c r="D115" s="11" t="s">
        <v>128</v>
      </c>
      <c r="E115" s="11" t="s">
        <v>16</v>
      </c>
      <c r="F115" s="12">
        <v>3.0</v>
      </c>
      <c r="G115" s="14">
        <v>0.0</v>
      </c>
      <c r="H115" s="11" t="s">
        <v>45</v>
      </c>
      <c r="I115" s="11" t="s">
        <v>45</v>
      </c>
      <c r="J115" s="14">
        <v>0.0</v>
      </c>
      <c r="K115" s="11" t="s">
        <v>45</v>
      </c>
      <c r="L115" s="12">
        <v>0.0</v>
      </c>
      <c r="M115" s="18">
        <f t="shared" si="3"/>
        <v>3</v>
      </c>
      <c r="N115" s="20">
        <f t="shared" si="4"/>
        <v>0</v>
      </c>
      <c r="O115" s="21" t="s">
        <v>440</v>
      </c>
      <c r="P115" s="24" t="s">
        <v>435</v>
      </c>
      <c r="Q115" s="11" t="s">
        <v>175</v>
      </c>
    </row>
    <row r="116" ht="15.0" customHeight="1">
      <c r="A116" s="11" t="s">
        <v>441</v>
      </c>
      <c r="B116" s="11" t="s">
        <v>168</v>
      </c>
      <c r="C116" s="11">
        <v>2025.0</v>
      </c>
      <c r="D116" s="11" t="s">
        <v>147</v>
      </c>
      <c r="E116" s="11" t="s">
        <v>16</v>
      </c>
      <c r="F116" s="12">
        <v>2.5</v>
      </c>
      <c r="G116" s="14">
        <v>0.0</v>
      </c>
      <c r="H116" s="11" t="s">
        <v>45</v>
      </c>
      <c r="I116" s="11" t="s">
        <v>45</v>
      </c>
      <c r="J116" s="14">
        <v>0.0</v>
      </c>
      <c r="K116" s="11" t="s">
        <v>45</v>
      </c>
      <c r="L116" s="12">
        <v>0.0</v>
      </c>
      <c r="M116" s="18">
        <f t="shared" si="3"/>
        <v>2.5</v>
      </c>
      <c r="N116" s="20">
        <f t="shared" si="4"/>
        <v>0</v>
      </c>
      <c r="O116" s="21" t="s">
        <v>442</v>
      </c>
      <c r="P116" s="24" t="s">
        <v>435</v>
      </c>
      <c r="Q116" s="11" t="s">
        <v>175</v>
      </c>
    </row>
    <row r="117" ht="15.0" customHeight="1">
      <c r="A117" s="11" t="s">
        <v>443</v>
      </c>
      <c r="B117" s="11" t="s">
        <v>168</v>
      </c>
      <c r="C117" s="11">
        <v>2025.0</v>
      </c>
      <c r="D117" s="11" t="s">
        <v>393</v>
      </c>
      <c r="E117" s="11" t="s">
        <v>16</v>
      </c>
      <c r="F117" s="12">
        <v>0.8</v>
      </c>
      <c r="G117" s="14">
        <v>0.0</v>
      </c>
      <c r="H117" s="11" t="s">
        <v>45</v>
      </c>
      <c r="I117" s="11" t="s">
        <v>45</v>
      </c>
      <c r="J117" s="14">
        <v>0.0</v>
      </c>
      <c r="K117" s="11" t="s">
        <v>45</v>
      </c>
      <c r="L117" s="12">
        <v>0.0</v>
      </c>
      <c r="M117" s="18">
        <f t="shared" si="3"/>
        <v>0.8</v>
      </c>
      <c r="N117" s="20">
        <f t="shared" si="4"/>
        <v>0</v>
      </c>
      <c r="O117" s="21" t="s">
        <v>444</v>
      </c>
      <c r="P117" s="24" t="s">
        <v>435</v>
      </c>
      <c r="Q117" s="11" t="s">
        <v>94</v>
      </c>
    </row>
    <row r="118" ht="27.75" customHeight="1">
      <c r="A118" s="11" t="s">
        <v>445</v>
      </c>
      <c r="B118" s="11" t="s">
        <v>37</v>
      </c>
      <c r="C118" s="11">
        <v>2025.0</v>
      </c>
      <c r="D118" s="11" t="s">
        <v>446</v>
      </c>
      <c r="E118" s="11" t="s">
        <v>16</v>
      </c>
      <c r="F118" s="12">
        <v>2.0</v>
      </c>
      <c r="G118" s="14">
        <v>0.0</v>
      </c>
      <c r="H118" s="11" t="s">
        <v>45</v>
      </c>
      <c r="I118" s="11" t="s">
        <v>45</v>
      </c>
      <c r="J118" s="14">
        <v>0.0</v>
      </c>
      <c r="K118" s="11" t="s">
        <v>45</v>
      </c>
      <c r="L118" s="12">
        <v>0.0</v>
      </c>
      <c r="M118" s="18">
        <f t="shared" si="3"/>
        <v>2</v>
      </c>
      <c r="N118" s="20">
        <f t="shared" si="4"/>
        <v>0</v>
      </c>
      <c r="O118" s="21" t="s">
        <v>447</v>
      </c>
      <c r="P118" s="24" t="s">
        <v>435</v>
      </c>
      <c r="Q118" s="11" t="s">
        <v>94</v>
      </c>
    </row>
    <row r="119" ht="15.0" customHeight="1">
      <c r="A119" s="11" t="s">
        <v>448</v>
      </c>
      <c r="B119" s="11" t="s">
        <v>160</v>
      </c>
      <c r="C119" s="11">
        <v>2024.0</v>
      </c>
      <c r="D119" s="11" t="s">
        <v>449</v>
      </c>
      <c r="E119" s="11" t="s">
        <v>450</v>
      </c>
      <c r="F119" s="12">
        <v>0.0</v>
      </c>
      <c r="G119" s="14">
        <v>0.0</v>
      </c>
      <c r="H119" s="11" t="s">
        <v>45</v>
      </c>
      <c r="I119" s="11" t="s">
        <v>45</v>
      </c>
      <c r="J119" s="14">
        <v>0.0</v>
      </c>
      <c r="K119" s="11" t="s">
        <v>45</v>
      </c>
      <c r="L119" s="12">
        <v>0.0</v>
      </c>
      <c r="M119" s="18">
        <f t="shared" si="3"/>
        <v>0</v>
      </c>
      <c r="N119" s="20">
        <f t="shared" si="4"/>
        <v>0</v>
      </c>
      <c r="O119" s="21" t="s">
        <v>451</v>
      </c>
      <c r="P119" s="24" t="s">
        <v>432</v>
      </c>
      <c r="Q119" s="11" t="s">
        <v>175</v>
      </c>
    </row>
    <row r="120" ht="15.0" customHeight="1">
      <c r="A120" s="11" t="s">
        <v>452</v>
      </c>
      <c r="B120" s="11" t="s">
        <v>97</v>
      </c>
      <c r="C120" s="11">
        <v>2025.0</v>
      </c>
      <c r="D120" s="11" t="s">
        <v>453</v>
      </c>
      <c r="E120" s="11" t="s">
        <v>253</v>
      </c>
      <c r="F120" s="12">
        <v>0.0</v>
      </c>
      <c r="G120" s="14">
        <v>0.0</v>
      </c>
      <c r="H120" s="11" t="s">
        <v>45</v>
      </c>
      <c r="I120" s="11" t="s">
        <v>45</v>
      </c>
      <c r="J120" s="14">
        <v>0.0</v>
      </c>
      <c r="K120" s="11" t="s">
        <v>45</v>
      </c>
      <c r="L120" s="12">
        <v>0.0</v>
      </c>
      <c r="M120" s="18">
        <f t="shared" si="3"/>
        <v>0</v>
      </c>
      <c r="N120" s="20">
        <f t="shared" si="4"/>
        <v>0</v>
      </c>
      <c r="O120" s="21" t="s">
        <v>454</v>
      </c>
      <c r="P120" s="24" t="s">
        <v>435</v>
      </c>
      <c r="Q120" s="11" t="s">
        <v>94</v>
      </c>
    </row>
    <row r="121" ht="15.0" customHeight="1">
      <c r="A121" s="11" t="s">
        <v>455</v>
      </c>
      <c r="B121" s="11" t="s">
        <v>37</v>
      </c>
      <c r="C121" s="11">
        <v>2024.0</v>
      </c>
      <c r="D121" s="11" t="s">
        <v>308</v>
      </c>
      <c r="E121" s="11" t="s">
        <v>450</v>
      </c>
      <c r="F121" s="12">
        <v>0.0</v>
      </c>
      <c r="G121" s="14">
        <v>0.0</v>
      </c>
      <c r="H121" s="11" t="s">
        <v>45</v>
      </c>
      <c r="I121" s="11" t="s">
        <v>45</v>
      </c>
      <c r="J121" s="14">
        <v>0.0</v>
      </c>
      <c r="K121" s="11" t="s">
        <v>45</v>
      </c>
      <c r="L121" s="12">
        <v>0.0</v>
      </c>
      <c r="M121" s="18">
        <f t="shared" si="3"/>
        <v>0</v>
      </c>
      <c r="N121" s="20">
        <f t="shared" si="4"/>
        <v>0</v>
      </c>
      <c r="O121" s="21" t="s">
        <v>456</v>
      </c>
      <c r="P121" s="24" t="s">
        <v>432</v>
      </c>
      <c r="Q121" s="11" t="s">
        <v>175</v>
      </c>
    </row>
    <row r="122" ht="15.0" customHeight="1">
      <c r="A122" s="11" t="s">
        <v>457</v>
      </c>
      <c r="B122" s="11" t="s">
        <v>97</v>
      </c>
      <c r="C122" s="11">
        <v>2024.0</v>
      </c>
      <c r="D122" s="11" t="s">
        <v>458</v>
      </c>
      <c r="E122" s="11" t="s">
        <v>253</v>
      </c>
      <c r="F122" s="12">
        <v>0.0</v>
      </c>
      <c r="G122" s="14">
        <v>0.0</v>
      </c>
      <c r="H122" s="11" t="s">
        <v>45</v>
      </c>
      <c r="I122" s="11" t="s">
        <v>45</v>
      </c>
      <c r="J122" s="14">
        <v>0.0</v>
      </c>
      <c r="K122" s="11" t="s">
        <v>45</v>
      </c>
      <c r="L122" s="12">
        <v>0.0</v>
      </c>
      <c r="M122" s="18">
        <f t="shared" si="3"/>
        <v>0</v>
      </c>
      <c r="N122" s="20">
        <f t="shared" si="4"/>
        <v>0</v>
      </c>
      <c r="O122" s="21" t="s">
        <v>459</v>
      </c>
      <c r="P122" s="24" t="s">
        <v>432</v>
      </c>
      <c r="Q122" s="11" t="s">
        <v>175</v>
      </c>
    </row>
    <row r="123" ht="15.0" customHeight="1">
      <c r="A123" s="11" t="s">
        <v>460</v>
      </c>
      <c r="B123" s="11" t="s">
        <v>160</v>
      </c>
      <c r="C123" s="11">
        <v>2024.0</v>
      </c>
      <c r="D123" s="11" t="s">
        <v>317</v>
      </c>
      <c r="E123" s="11" t="s">
        <v>253</v>
      </c>
      <c r="F123" s="12">
        <v>0.0</v>
      </c>
      <c r="G123" s="14">
        <v>0.0</v>
      </c>
      <c r="H123" s="11" t="s">
        <v>45</v>
      </c>
      <c r="I123" s="11" t="s">
        <v>45</v>
      </c>
      <c r="J123" s="14">
        <v>0.0</v>
      </c>
      <c r="K123" s="11" t="s">
        <v>45</v>
      </c>
      <c r="L123" s="12">
        <v>0.0</v>
      </c>
      <c r="M123" s="18">
        <f t="shared" si="3"/>
        <v>0</v>
      </c>
      <c r="N123" s="20">
        <f t="shared" si="4"/>
        <v>0</v>
      </c>
      <c r="O123" s="21" t="s">
        <v>397</v>
      </c>
      <c r="P123" s="24" t="s">
        <v>432</v>
      </c>
      <c r="Q123" s="11" t="s">
        <v>94</v>
      </c>
    </row>
    <row r="124" ht="15.0" customHeight="1">
      <c r="A124" s="11" t="s">
        <v>461</v>
      </c>
      <c r="B124" s="11" t="s">
        <v>168</v>
      </c>
      <c r="C124" s="11">
        <v>2024.0</v>
      </c>
      <c r="D124" s="11" t="s">
        <v>364</v>
      </c>
      <c r="E124" s="11" t="s">
        <v>253</v>
      </c>
      <c r="F124" s="12">
        <v>0.0</v>
      </c>
      <c r="G124" s="14">
        <v>0.0</v>
      </c>
      <c r="H124" s="11" t="s">
        <v>45</v>
      </c>
      <c r="I124" s="11" t="s">
        <v>45</v>
      </c>
      <c r="J124" s="14">
        <v>0.0</v>
      </c>
      <c r="K124" s="11" t="s">
        <v>45</v>
      </c>
      <c r="L124" s="12">
        <v>0.0</v>
      </c>
      <c r="M124" s="18">
        <f t="shared" si="3"/>
        <v>0</v>
      </c>
      <c r="N124" s="20">
        <f t="shared" si="4"/>
        <v>0</v>
      </c>
      <c r="O124" s="21" t="s">
        <v>397</v>
      </c>
      <c r="P124" s="24" t="s">
        <v>432</v>
      </c>
      <c r="Q124" s="11" t="s">
        <v>175</v>
      </c>
    </row>
    <row r="125" ht="15.0" customHeight="1">
      <c r="A125" s="11" t="s">
        <v>462</v>
      </c>
      <c r="B125" s="11" t="s">
        <v>37</v>
      </c>
      <c r="C125" s="11">
        <v>2024.0</v>
      </c>
      <c r="D125" s="11" t="s">
        <v>463</v>
      </c>
      <c r="E125" s="11" t="s">
        <v>270</v>
      </c>
      <c r="F125" s="12">
        <v>0.0</v>
      </c>
      <c r="G125" s="14">
        <v>0.0</v>
      </c>
      <c r="H125" s="11" t="s">
        <v>45</v>
      </c>
      <c r="I125" s="11" t="s">
        <v>45</v>
      </c>
      <c r="J125" s="14">
        <v>0.0</v>
      </c>
      <c r="K125" s="11" t="s">
        <v>45</v>
      </c>
      <c r="L125" s="12">
        <v>0.0</v>
      </c>
      <c r="M125" s="18">
        <f t="shared" si="3"/>
        <v>0</v>
      </c>
      <c r="N125" s="20">
        <f t="shared" si="4"/>
        <v>0</v>
      </c>
      <c r="O125" s="21" t="s">
        <v>464</v>
      </c>
      <c r="P125" s="24" t="s">
        <v>432</v>
      </c>
      <c r="Q125" s="11" t="s">
        <v>175</v>
      </c>
    </row>
    <row r="126" ht="15.0" customHeight="1">
      <c r="A126" s="11" t="s">
        <v>465</v>
      </c>
      <c r="B126" s="11" t="s">
        <v>155</v>
      </c>
      <c r="C126" s="11">
        <v>2024.0</v>
      </c>
      <c r="D126" s="11" t="s">
        <v>458</v>
      </c>
      <c r="E126" s="11" t="s">
        <v>270</v>
      </c>
      <c r="F126" s="12">
        <v>0.0</v>
      </c>
      <c r="G126" s="14">
        <v>0.0</v>
      </c>
      <c r="H126" s="11" t="s">
        <v>45</v>
      </c>
      <c r="I126" s="11" t="s">
        <v>45</v>
      </c>
      <c r="J126" s="14">
        <v>0.0</v>
      </c>
      <c r="K126" s="11" t="s">
        <v>45</v>
      </c>
      <c r="L126" s="12">
        <v>0.0</v>
      </c>
      <c r="M126" s="18">
        <f t="shared" si="3"/>
        <v>0</v>
      </c>
      <c r="N126" s="20">
        <f t="shared" si="4"/>
        <v>0</v>
      </c>
      <c r="O126" s="21" t="s">
        <v>464</v>
      </c>
      <c r="P126" s="24" t="s">
        <v>432</v>
      </c>
      <c r="Q126" s="11" t="s">
        <v>175</v>
      </c>
    </row>
    <row r="127" ht="15.0" customHeight="1">
      <c r="A127" s="11" t="s">
        <v>466</v>
      </c>
      <c r="B127" s="11" t="s">
        <v>97</v>
      </c>
      <c r="C127" s="11">
        <v>2024.0</v>
      </c>
      <c r="D127" s="11" t="s">
        <v>409</v>
      </c>
      <c r="E127" s="11" t="s">
        <v>16</v>
      </c>
      <c r="F127" s="12">
        <v>0.0</v>
      </c>
      <c r="G127" s="14">
        <v>0.0</v>
      </c>
      <c r="H127" s="11" t="s">
        <v>45</v>
      </c>
      <c r="I127" s="11" t="s">
        <v>45</v>
      </c>
      <c r="J127" s="14">
        <v>0.0</v>
      </c>
      <c r="K127" s="11" t="s">
        <v>45</v>
      </c>
      <c r="L127" s="12">
        <v>0.0</v>
      </c>
      <c r="M127" s="18">
        <f t="shared" si="3"/>
        <v>0</v>
      </c>
      <c r="N127" s="20">
        <f t="shared" si="4"/>
        <v>0</v>
      </c>
      <c r="O127" s="21" t="s">
        <v>467</v>
      </c>
      <c r="P127" s="24" t="s">
        <v>432</v>
      </c>
      <c r="Q127" s="11" t="s">
        <v>94</v>
      </c>
    </row>
    <row r="128" ht="15.0" customHeight="1">
      <c r="A128" s="11" t="s">
        <v>468</v>
      </c>
      <c r="B128" s="11" t="s">
        <v>168</v>
      </c>
      <c r="C128" s="11">
        <v>2024.0</v>
      </c>
      <c r="D128" s="11" t="s">
        <v>406</v>
      </c>
      <c r="E128" s="11" t="s">
        <v>270</v>
      </c>
      <c r="F128" s="12">
        <v>0.0</v>
      </c>
      <c r="G128" s="14">
        <v>0.0</v>
      </c>
      <c r="H128" s="11" t="s">
        <v>45</v>
      </c>
      <c r="I128" s="11" t="s">
        <v>45</v>
      </c>
      <c r="J128" s="14">
        <v>0.0</v>
      </c>
      <c r="K128" s="11" t="s">
        <v>45</v>
      </c>
      <c r="L128" s="12">
        <v>0.0</v>
      </c>
      <c r="M128" s="18">
        <f t="shared" si="3"/>
        <v>0</v>
      </c>
      <c r="N128" s="20">
        <f t="shared" si="4"/>
        <v>0</v>
      </c>
      <c r="O128" s="21" t="s">
        <v>464</v>
      </c>
      <c r="P128" s="24" t="s">
        <v>432</v>
      </c>
      <c r="Q128" s="11" t="s">
        <v>94</v>
      </c>
    </row>
    <row r="129" ht="15.0" customHeight="1">
      <c r="A129" s="11" t="s">
        <v>469</v>
      </c>
      <c r="B129" s="11" t="s">
        <v>234</v>
      </c>
      <c r="C129" s="11">
        <v>2021.0</v>
      </c>
      <c r="D129" s="11" t="s">
        <v>470</v>
      </c>
      <c r="E129" s="11" t="s">
        <v>253</v>
      </c>
      <c r="F129" s="12">
        <v>0.0</v>
      </c>
      <c r="G129" s="14">
        <v>0.0</v>
      </c>
      <c r="H129" s="11" t="s">
        <v>45</v>
      </c>
      <c r="I129" s="11" t="s">
        <v>45</v>
      </c>
      <c r="J129" s="14">
        <v>0.0</v>
      </c>
      <c r="K129" s="11" t="s">
        <v>45</v>
      </c>
      <c r="L129" s="12">
        <v>0.0</v>
      </c>
      <c r="M129" s="18">
        <f t="shared" si="3"/>
        <v>0</v>
      </c>
      <c r="N129" s="20">
        <f t="shared" si="4"/>
        <v>0</v>
      </c>
      <c r="O129" s="21" t="s">
        <v>471</v>
      </c>
      <c r="P129" s="24" t="s">
        <v>375</v>
      </c>
      <c r="Q129" s="11" t="s">
        <v>94</v>
      </c>
    </row>
    <row r="130" ht="15.0" customHeight="1">
      <c r="A130" s="11" t="s">
        <v>472</v>
      </c>
      <c r="B130" s="11" t="s">
        <v>160</v>
      </c>
      <c r="C130" s="11">
        <v>2020.0</v>
      </c>
      <c r="D130" s="11" t="s">
        <v>473</v>
      </c>
      <c r="E130" s="11" t="s">
        <v>253</v>
      </c>
      <c r="F130" s="12">
        <v>0.0</v>
      </c>
      <c r="G130" s="14">
        <v>0.0</v>
      </c>
      <c r="H130" s="11" t="s">
        <v>45</v>
      </c>
      <c r="I130" s="11" t="s">
        <v>45</v>
      </c>
      <c r="J130" s="14">
        <v>0.0</v>
      </c>
      <c r="K130" s="11" t="s">
        <v>45</v>
      </c>
      <c r="L130" s="12">
        <v>0.0</v>
      </c>
      <c r="M130" s="18">
        <f t="shared" si="3"/>
        <v>0</v>
      </c>
      <c r="N130" s="20">
        <f t="shared" si="4"/>
        <v>0</v>
      </c>
      <c r="O130" s="21" t="s">
        <v>397</v>
      </c>
      <c r="P130" s="24" t="s">
        <v>368</v>
      </c>
      <c r="Q130" s="11" t="s">
        <v>94</v>
      </c>
    </row>
    <row r="131" ht="15.0" customHeight="1">
      <c r="A131" s="11" t="s">
        <v>474</v>
      </c>
      <c r="B131" s="11" t="s">
        <v>168</v>
      </c>
      <c r="C131" s="11">
        <v>2020.0</v>
      </c>
      <c r="D131" s="11" t="s">
        <v>475</v>
      </c>
      <c r="E131" s="11" t="s">
        <v>253</v>
      </c>
      <c r="F131" s="12">
        <v>0.0</v>
      </c>
      <c r="G131" s="14">
        <v>0.0</v>
      </c>
      <c r="H131" s="11" t="s">
        <v>45</v>
      </c>
      <c r="I131" s="11" t="s">
        <v>45</v>
      </c>
      <c r="J131" s="14">
        <v>0.0</v>
      </c>
      <c r="K131" s="11" t="s">
        <v>45</v>
      </c>
      <c r="L131" s="12">
        <v>0.0</v>
      </c>
      <c r="M131" s="18">
        <f t="shared" si="3"/>
        <v>0</v>
      </c>
      <c r="N131" s="20">
        <f t="shared" si="4"/>
        <v>0</v>
      </c>
      <c r="O131" s="21" t="s">
        <v>397</v>
      </c>
      <c r="P131" s="24" t="s">
        <v>368</v>
      </c>
      <c r="Q131" s="11" t="s">
        <v>94</v>
      </c>
    </row>
    <row r="132" ht="15.0" customHeight="1">
      <c r="A132" s="11" t="s">
        <v>476</v>
      </c>
      <c r="B132" s="11" t="s">
        <v>37</v>
      </c>
      <c r="C132" s="11">
        <v>2021.0</v>
      </c>
      <c r="D132" s="11" t="s">
        <v>477</v>
      </c>
      <c r="E132" s="11" t="s">
        <v>253</v>
      </c>
      <c r="F132" s="12">
        <v>0.0</v>
      </c>
      <c r="G132" s="14">
        <v>0.0</v>
      </c>
      <c r="H132" s="11" t="s">
        <v>45</v>
      </c>
      <c r="I132" s="11" t="s">
        <v>45</v>
      </c>
      <c r="J132" s="14">
        <v>0.0</v>
      </c>
      <c r="K132" s="11" t="s">
        <v>45</v>
      </c>
      <c r="L132" s="12">
        <v>0.0</v>
      </c>
      <c r="M132" s="18">
        <f t="shared" si="3"/>
        <v>0</v>
      </c>
      <c r="N132" s="20">
        <f t="shared" si="4"/>
        <v>0</v>
      </c>
      <c r="O132" s="21" t="s">
        <v>478</v>
      </c>
      <c r="P132" s="24" t="s">
        <v>375</v>
      </c>
      <c r="Q132" s="11" t="s">
        <v>94</v>
      </c>
    </row>
    <row r="133" ht="15.0" customHeight="1">
      <c r="A133" s="11" t="s">
        <v>479</v>
      </c>
      <c r="B133" s="11" t="s">
        <v>153</v>
      </c>
      <c r="C133" s="11">
        <v>2023.0</v>
      </c>
      <c r="D133" s="11" t="s">
        <v>480</v>
      </c>
      <c r="E133" s="11" t="s">
        <v>253</v>
      </c>
      <c r="F133" s="12">
        <v>0.0</v>
      </c>
      <c r="G133" s="14">
        <v>0.0</v>
      </c>
      <c r="H133" s="11" t="s">
        <v>45</v>
      </c>
      <c r="I133" s="11" t="s">
        <v>45</v>
      </c>
      <c r="J133" s="14">
        <v>0.0</v>
      </c>
      <c r="K133" s="11" t="s">
        <v>45</v>
      </c>
      <c r="L133" s="12">
        <v>0.0</v>
      </c>
      <c r="M133" s="18">
        <f t="shared" si="3"/>
        <v>0</v>
      </c>
      <c r="N133" s="20">
        <f t="shared" si="4"/>
        <v>0</v>
      </c>
      <c r="O133" s="21" t="s">
        <v>481</v>
      </c>
      <c r="P133" s="24" t="s">
        <v>387</v>
      </c>
      <c r="Q133" s="11" t="s">
        <v>94</v>
      </c>
    </row>
    <row r="134" ht="15.0" customHeight="1">
      <c r="A134" s="11" t="s">
        <v>482</v>
      </c>
      <c r="B134" s="11" t="s">
        <v>153</v>
      </c>
      <c r="C134" s="11">
        <v>2023.0</v>
      </c>
      <c r="D134" s="11" t="s">
        <v>483</v>
      </c>
      <c r="E134" s="11" t="s">
        <v>253</v>
      </c>
      <c r="F134" s="12">
        <v>0.0</v>
      </c>
      <c r="G134" s="14">
        <v>0.0</v>
      </c>
      <c r="H134" s="11" t="s">
        <v>45</v>
      </c>
      <c r="I134" s="11" t="s">
        <v>45</v>
      </c>
      <c r="J134" s="14">
        <v>0.0</v>
      </c>
      <c r="K134" s="11" t="s">
        <v>45</v>
      </c>
      <c r="L134" s="12">
        <v>0.0</v>
      </c>
      <c r="M134" s="18">
        <f t="shared" si="3"/>
        <v>0</v>
      </c>
      <c r="N134" s="20">
        <f t="shared" si="4"/>
        <v>0</v>
      </c>
      <c r="O134" s="21" t="s">
        <v>300</v>
      </c>
      <c r="P134" s="24" t="s">
        <v>387</v>
      </c>
      <c r="Q134" s="11" t="s">
        <v>94</v>
      </c>
    </row>
    <row r="135" ht="15.0" customHeight="1">
      <c r="A135" s="11" t="s">
        <v>484</v>
      </c>
      <c r="B135" s="11" t="s">
        <v>313</v>
      </c>
      <c r="C135" s="11">
        <v>2023.0</v>
      </c>
      <c r="D135" s="11" t="s">
        <v>485</v>
      </c>
      <c r="E135" s="11" t="s">
        <v>253</v>
      </c>
      <c r="F135" s="12">
        <v>0.0</v>
      </c>
      <c r="G135" s="14">
        <v>0.0</v>
      </c>
      <c r="H135" s="11" t="s">
        <v>45</v>
      </c>
      <c r="I135" s="11" t="s">
        <v>45</v>
      </c>
      <c r="J135" s="14">
        <v>0.0</v>
      </c>
      <c r="K135" s="11" t="s">
        <v>45</v>
      </c>
      <c r="L135" s="12">
        <v>0.0</v>
      </c>
      <c r="M135" s="18">
        <f t="shared" si="3"/>
        <v>0</v>
      </c>
      <c r="N135" s="20">
        <f t="shared" si="4"/>
        <v>0</v>
      </c>
      <c r="O135" s="21" t="s">
        <v>397</v>
      </c>
      <c r="P135" s="24" t="s">
        <v>387</v>
      </c>
      <c r="Q135" s="11" t="s">
        <v>94</v>
      </c>
    </row>
    <row r="136" ht="15.0" customHeight="1">
      <c r="A136" s="11" t="s">
        <v>486</v>
      </c>
      <c r="B136" s="11" t="s">
        <v>160</v>
      </c>
      <c r="C136" s="11">
        <v>2025.0</v>
      </c>
      <c r="D136" s="11" t="s">
        <v>409</v>
      </c>
      <c r="E136" s="11" t="s">
        <v>253</v>
      </c>
      <c r="F136" s="12">
        <v>0.0</v>
      </c>
      <c r="G136" s="14">
        <v>0.0</v>
      </c>
      <c r="H136" s="11" t="s">
        <v>45</v>
      </c>
      <c r="I136" s="11" t="s">
        <v>45</v>
      </c>
      <c r="J136" s="14">
        <v>0.0</v>
      </c>
      <c r="K136" s="11" t="s">
        <v>45</v>
      </c>
      <c r="L136" s="12">
        <v>0.0</v>
      </c>
      <c r="M136" s="18">
        <f t="shared" si="3"/>
        <v>0</v>
      </c>
      <c r="N136" s="20">
        <f t="shared" si="4"/>
        <v>0</v>
      </c>
      <c r="O136" s="21" t="s">
        <v>487</v>
      </c>
      <c r="P136" s="24" t="s">
        <v>435</v>
      </c>
      <c r="Q136" s="11" t="s">
        <v>94</v>
      </c>
    </row>
    <row r="137" ht="27.75" customHeight="1">
      <c r="A137" s="11" t="s">
        <v>488</v>
      </c>
      <c r="B137" s="11" t="s">
        <v>234</v>
      </c>
      <c r="C137" s="11">
        <v>2024.0</v>
      </c>
      <c r="D137" s="11" t="s">
        <v>489</v>
      </c>
      <c r="E137" s="11" t="s">
        <v>270</v>
      </c>
      <c r="F137" s="12">
        <v>0.0</v>
      </c>
      <c r="G137" s="14">
        <v>0.0</v>
      </c>
      <c r="H137" s="11" t="s">
        <v>45</v>
      </c>
      <c r="I137" s="11" t="s">
        <v>45</v>
      </c>
      <c r="J137" s="14">
        <v>0.0</v>
      </c>
      <c r="K137" s="11" t="s">
        <v>45</v>
      </c>
      <c r="L137" s="12">
        <v>0.0</v>
      </c>
      <c r="M137" s="18">
        <f t="shared" si="3"/>
        <v>0</v>
      </c>
      <c r="N137" s="20">
        <f t="shared" si="4"/>
        <v>0</v>
      </c>
      <c r="O137" s="21" t="s">
        <v>490</v>
      </c>
      <c r="P137" s="24" t="s">
        <v>432</v>
      </c>
      <c r="Q137" s="11" t="s">
        <v>148</v>
      </c>
    </row>
    <row r="138" ht="27.75" customHeight="1">
      <c r="A138" s="11" t="s">
        <v>491</v>
      </c>
      <c r="B138" s="11" t="s">
        <v>241</v>
      </c>
      <c r="C138" s="11">
        <v>2026.0</v>
      </c>
      <c r="D138" s="11" t="s">
        <v>310</v>
      </c>
      <c r="E138" s="11" t="s">
        <v>450</v>
      </c>
      <c r="F138" s="12">
        <v>0.0</v>
      </c>
      <c r="G138" s="14">
        <v>0.0</v>
      </c>
      <c r="H138" s="11" t="s">
        <v>45</v>
      </c>
      <c r="I138" s="11" t="s">
        <v>45</v>
      </c>
      <c r="J138" s="14">
        <v>0.0</v>
      </c>
      <c r="K138" s="11" t="s">
        <v>45</v>
      </c>
      <c r="L138" s="12">
        <v>0.0</v>
      </c>
      <c r="M138" s="18">
        <f t="shared" si="3"/>
        <v>0</v>
      </c>
      <c r="N138" s="20">
        <f t="shared" si="4"/>
        <v>0</v>
      </c>
      <c r="O138" s="21" t="s">
        <v>492</v>
      </c>
      <c r="P138" s="24" t="s">
        <v>493</v>
      </c>
      <c r="Q138" s="11" t="s">
        <v>94</v>
      </c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autoFilter ref="$A$1:$Q$138"/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  <hyperlink r:id="rId115" ref="P116"/>
    <hyperlink r:id="rId116" ref="P117"/>
    <hyperlink r:id="rId117" ref="P118"/>
    <hyperlink r:id="rId118" ref="P119"/>
    <hyperlink r:id="rId119" ref="P120"/>
    <hyperlink r:id="rId120" ref="P121"/>
    <hyperlink r:id="rId121" ref="P122"/>
    <hyperlink r:id="rId122" ref="P123"/>
    <hyperlink r:id="rId123" ref="P124"/>
    <hyperlink r:id="rId124" ref="P125"/>
    <hyperlink r:id="rId125" ref="P126"/>
    <hyperlink r:id="rId126" ref="P127"/>
    <hyperlink r:id="rId127" ref="P128"/>
    <hyperlink r:id="rId128" ref="P129"/>
    <hyperlink r:id="rId129" ref="P130"/>
    <hyperlink r:id="rId130" ref="P131"/>
    <hyperlink r:id="rId131" ref="P132"/>
    <hyperlink r:id="rId132" ref="P133"/>
    <hyperlink r:id="rId133" ref="P134"/>
    <hyperlink r:id="rId134" ref="P135"/>
    <hyperlink r:id="rId135" ref="P136"/>
    <hyperlink r:id="rId136" ref="P137"/>
    <hyperlink r:id="rId137" ref="P138"/>
  </hyperlinks>
  <printOptions/>
  <pageMargins bottom="1.0" footer="0.0" header="0.0" left="0.75" right="0.75" top="1.0"/>
  <pageSetup paperSize="9" orientation="portrait"/>
  <drawing r:id="rId1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40.0"/>
    <col customWidth="1" min="4" max="4" width="38.0"/>
    <col customWidth="1" min="5" max="5" width="18.0"/>
    <col customWidth="1" min="6" max="6" width="55.0"/>
    <col customWidth="1" min="7" max="26" width="8.71"/>
  </cols>
  <sheetData>
    <row r="1" ht="21.75" customHeight="1">
      <c r="A1" s="7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 ht="15.0" customHeight="1">
      <c r="A3" s="10" t="s">
        <v>23</v>
      </c>
      <c r="B3" s="10" t="s">
        <v>26</v>
      </c>
      <c r="C3" s="10" t="s">
        <v>28</v>
      </c>
      <c r="D3" s="10" t="s">
        <v>30</v>
      </c>
      <c r="E3" s="10" t="s">
        <v>32</v>
      </c>
      <c r="F3" s="10" t="s">
        <v>34</v>
      </c>
    </row>
    <row r="4" ht="27.75" customHeight="1">
      <c r="A4" s="6" t="s">
        <v>35</v>
      </c>
      <c r="B4" s="13">
        <f>COUNTA(Cases!A2:A138)</f>
        <v>137</v>
      </c>
      <c r="C4" s="6" t="s">
        <v>40</v>
      </c>
      <c r="D4" s="6" t="s">
        <v>41</v>
      </c>
      <c r="E4" s="6" t="s">
        <v>43</v>
      </c>
      <c r="F4" s="15" t="s">
        <v>44</v>
      </c>
    </row>
    <row r="5" ht="15.0" customHeight="1">
      <c r="A5" s="6" t="s">
        <v>46</v>
      </c>
      <c r="B5" s="16">
        <v>104.0</v>
      </c>
      <c r="C5" s="6" t="s">
        <v>48</v>
      </c>
      <c r="D5" s="6" t="s">
        <v>49</v>
      </c>
      <c r="E5" s="6" t="s">
        <v>50</v>
      </c>
      <c r="F5" s="15" t="s">
        <v>51</v>
      </c>
    </row>
    <row r="6" ht="15.0" customHeight="1">
      <c r="A6" s="6" t="s">
        <v>52</v>
      </c>
      <c r="B6" s="13">
        <f>COUNTIF(Cases!F2:F138,"&gt;0")</f>
        <v>66</v>
      </c>
      <c r="C6" s="6" t="s">
        <v>55</v>
      </c>
      <c r="D6" s="6" t="s">
        <v>56</v>
      </c>
      <c r="E6" s="6" t="s">
        <v>57</v>
      </c>
      <c r="F6" s="15" t="s">
        <v>58</v>
      </c>
    </row>
    <row r="7" ht="15.0" customHeight="1">
      <c r="A7" s="6" t="s">
        <v>59</v>
      </c>
      <c r="B7" s="13">
        <f>COUNTIF(Cases!F2:F138,0)</f>
        <v>71</v>
      </c>
      <c r="C7" s="6" t="s">
        <v>61</v>
      </c>
      <c r="D7" s="6" t="s">
        <v>62</v>
      </c>
      <c r="E7" s="6" t="s">
        <v>57</v>
      </c>
      <c r="F7" s="15" t="s">
        <v>63</v>
      </c>
    </row>
    <row r="8" ht="15.0" customHeight="1">
      <c r="A8" s="6" t="s">
        <v>64</v>
      </c>
      <c r="B8" s="13">
        <f>COUNTIF(Cases!Q2:Q138,"High")</f>
        <v>71</v>
      </c>
      <c r="C8" s="6" t="s">
        <v>66</v>
      </c>
      <c r="D8" s="6" t="s">
        <v>68</v>
      </c>
      <c r="E8" s="6" t="s">
        <v>57</v>
      </c>
      <c r="F8" s="15" t="s">
        <v>69</v>
      </c>
    </row>
    <row r="9" ht="15.0" customHeight="1">
      <c r="A9" s="6" t="s">
        <v>70</v>
      </c>
      <c r="B9" s="13">
        <f>COUNTIF(Cases!Q2:Q138,"Medium")+COUNTIF(Cases!Q2:Q138,"Low")</f>
        <v>66</v>
      </c>
      <c r="C9" s="6" t="s">
        <v>73</v>
      </c>
      <c r="D9" s="6" t="s">
        <v>74</v>
      </c>
      <c r="E9" s="6" t="s">
        <v>75</v>
      </c>
      <c r="F9" s="15" t="s">
        <v>76</v>
      </c>
    </row>
    <row r="10">
      <c r="A10" s="6"/>
      <c r="B10" s="6"/>
      <c r="C10" s="6"/>
      <c r="D10" s="6"/>
      <c r="E10" s="6"/>
      <c r="F10" s="6"/>
    </row>
    <row r="11">
      <c r="A11" s="6"/>
      <c r="B11" s="6"/>
      <c r="C11" s="6"/>
      <c r="D11" s="6"/>
      <c r="E11" s="6"/>
      <c r="F11" s="6"/>
    </row>
    <row r="12" ht="15.0" customHeight="1">
      <c r="A12" s="22" t="s">
        <v>83</v>
      </c>
      <c r="B12" s="3"/>
      <c r="C12" s="3"/>
      <c r="D12" s="3"/>
      <c r="E12" s="3"/>
      <c r="F12" s="5"/>
    </row>
    <row r="13" ht="15.0" customHeight="1">
      <c r="A13" s="15" t="s">
        <v>86</v>
      </c>
    </row>
    <row r="14" ht="15.0" customHeight="1">
      <c r="A14" s="15" t="s">
        <v>87</v>
      </c>
    </row>
    <row r="15" ht="15.0" customHeight="1">
      <c r="A15" s="15" t="s">
        <v>88</v>
      </c>
    </row>
    <row r="16" ht="15.0" customHeight="1">
      <c r="A16" s="15" t="s">
        <v>89</v>
      </c>
    </row>
    <row r="17" ht="15.0" customHeight="1">
      <c r="A17" s="15" t="s">
        <v>90</v>
      </c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mergeCells count="7">
    <mergeCell ref="A1:F1"/>
    <mergeCell ref="A12:F12"/>
    <mergeCell ref="A13:F13"/>
    <mergeCell ref="A14:F14"/>
    <mergeCell ref="A15:F15"/>
    <mergeCell ref="A16:F16"/>
    <mergeCell ref="A17:F1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20.0"/>
    <col customWidth="1" min="3" max="8" width="14.0"/>
    <col customWidth="1" min="9" max="9" width="8.71"/>
    <col customWidth="1" min="10" max="10" width="24.0"/>
    <col customWidth="1" min="11" max="11" width="14.0"/>
    <col customWidth="1" min="12" max="26" width="8.71"/>
  </cols>
  <sheetData>
    <row r="1" ht="24.0" customHeight="1">
      <c r="A1" s="2" t="s">
        <v>2</v>
      </c>
      <c r="B1" s="3"/>
      <c r="C1" s="3"/>
      <c r="D1" s="3"/>
      <c r="E1" s="3"/>
      <c r="F1" s="3"/>
      <c r="G1" s="3"/>
      <c r="H1" s="5"/>
      <c r="J1" s="6"/>
      <c r="K1" s="6"/>
    </row>
    <row r="2" ht="15.0" customHeight="1">
      <c r="A2" s="8" t="s">
        <v>12</v>
      </c>
      <c r="J2" s="6" t="s">
        <v>14</v>
      </c>
      <c r="K2" s="6" t="s">
        <v>15</v>
      </c>
    </row>
    <row r="3" ht="15.0" customHeight="1">
      <c r="A3" s="6"/>
      <c r="B3" s="6"/>
      <c r="C3" s="6"/>
      <c r="D3" s="6"/>
      <c r="E3" s="6"/>
      <c r="F3" s="6"/>
      <c r="G3" s="6"/>
      <c r="H3" s="6"/>
      <c r="J3" s="6" t="s">
        <v>22</v>
      </c>
      <c r="K3" s="6">
        <f>COUNTIF(Cases!E2:E138,"Sale with buy-back")</f>
        <v>9</v>
      </c>
    </row>
    <row r="4" ht="17.25" customHeight="1">
      <c r="A4" s="17" t="s">
        <v>47</v>
      </c>
      <c r="B4" s="19">
        <f>COUNTA(Cases!A2:A138)</f>
        <v>137</v>
      </c>
      <c r="C4" s="6"/>
      <c r="D4" s="6"/>
      <c r="E4" s="6"/>
      <c r="F4" s="6"/>
      <c r="G4" s="6"/>
      <c r="H4" s="6"/>
      <c r="J4" s="6" t="s">
        <v>67</v>
      </c>
      <c r="K4" s="6">
        <f>COUNTIF(Cases!E2:E138,"Partial sale")</f>
        <v>13</v>
      </c>
    </row>
    <row r="5" ht="17.25" customHeight="1">
      <c r="A5" s="17" t="s">
        <v>80</v>
      </c>
      <c r="B5" s="23">
        <f>SUM(Cases!F2:F138)</f>
        <v>396.9</v>
      </c>
      <c r="C5" s="6"/>
      <c r="D5" s="6"/>
      <c r="E5" s="6"/>
      <c r="F5" s="6"/>
      <c r="G5" s="6"/>
      <c r="H5" s="6"/>
      <c r="J5" s="6" t="s">
        <v>16</v>
      </c>
      <c r="K5" s="6">
        <f>COUNTIF(Cases!E2:E138,"Transfer")</f>
        <v>57</v>
      </c>
    </row>
    <row r="6" ht="17.25" customHeight="1">
      <c r="A6" s="17" t="s">
        <v>27</v>
      </c>
      <c r="B6" s="23">
        <f>SUM(Cases!M2:M138)</f>
        <v>319.4</v>
      </c>
      <c r="C6" s="6"/>
      <c r="D6" s="6"/>
      <c r="E6" s="6"/>
      <c r="F6" s="6"/>
      <c r="G6" s="6"/>
      <c r="H6" s="6"/>
      <c r="J6" s="6" t="s">
        <v>98</v>
      </c>
      <c r="K6" s="6">
        <f>COUNTIF(Cases!E2:E138,"Sale with sell-on")</f>
        <v>1</v>
      </c>
    </row>
    <row r="7" ht="17.25" customHeight="1">
      <c r="A7" s="17" t="s">
        <v>103</v>
      </c>
      <c r="B7" s="19">
        <f>COUNTIF(Cases!H2:H138,"Yes")</f>
        <v>21</v>
      </c>
      <c r="C7" s="6"/>
      <c r="D7" s="6"/>
      <c r="E7" s="6"/>
      <c r="F7" s="6"/>
      <c r="G7" s="6"/>
      <c r="H7" s="6"/>
      <c r="J7" s="6" t="s">
        <v>82</v>
      </c>
      <c r="K7" s="6">
        <f>COUNTIF(Cases!E2:E138,"End of contract")</f>
        <v>1</v>
      </c>
    </row>
    <row r="8" ht="17.25" customHeight="1">
      <c r="A8" s="17" t="s">
        <v>114</v>
      </c>
      <c r="B8" s="19">
        <f>COUNTIF(Cases!G2:G138,"&gt;0")</f>
        <v>13</v>
      </c>
      <c r="C8" s="6"/>
      <c r="D8" s="6"/>
      <c r="E8" s="6"/>
      <c r="F8" s="6"/>
      <c r="G8" s="6"/>
      <c r="H8" s="6"/>
      <c r="J8" s="6"/>
      <c r="K8" s="6"/>
    </row>
    <row r="9" ht="17.25" customHeight="1">
      <c r="A9" s="17" t="s">
        <v>122</v>
      </c>
      <c r="B9" s="19">
        <f>COUNTIF(Cases!I2:I138,"Yes")</f>
        <v>12</v>
      </c>
      <c r="C9" s="6"/>
      <c r="D9" s="6"/>
      <c r="E9" s="6"/>
      <c r="F9" s="6"/>
      <c r="G9" s="6"/>
      <c r="H9" s="6"/>
      <c r="J9" s="6"/>
      <c r="K9" s="6"/>
    </row>
    <row r="10" ht="17.25" customHeight="1">
      <c r="A10" s="17" t="s">
        <v>64</v>
      </c>
      <c r="B10" s="19">
        <f>COUNTIF(Cases!Q2:Q138,"High")</f>
        <v>71</v>
      </c>
      <c r="C10" s="6"/>
      <c r="D10" s="6"/>
      <c r="E10" s="6"/>
      <c r="F10" s="6"/>
      <c r="G10" s="6"/>
      <c r="H10" s="6"/>
      <c r="J10" s="6" t="s">
        <v>8</v>
      </c>
      <c r="K10" s="6" t="s">
        <v>136</v>
      </c>
    </row>
    <row r="11" ht="17.25" customHeight="1">
      <c r="A11" s="17" t="s">
        <v>70</v>
      </c>
      <c r="B11" s="19">
        <f>COUNTIF(Cases!Q2:Q138,"&lt;&gt;Alta")</f>
        <v>137</v>
      </c>
      <c r="C11" s="6"/>
      <c r="D11" s="6"/>
      <c r="E11" s="6"/>
      <c r="F11" s="6"/>
      <c r="G11" s="6"/>
      <c r="H11" s="6"/>
      <c r="J11" s="6" t="s">
        <v>37</v>
      </c>
      <c r="K11" s="6">
        <f>SUMIF(Cases!B2:B138,"Forward",Cases!F2:F138)</f>
        <v>107</v>
      </c>
    </row>
    <row r="12" ht="15.0" customHeight="1">
      <c r="A12" s="6"/>
      <c r="B12" s="6"/>
      <c r="C12" s="6"/>
      <c r="D12" s="6"/>
      <c r="E12" s="6"/>
      <c r="F12" s="6"/>
      <c r="G12" s="6"/>
      <c r="H12" s="6"/>
      <c r="J12" s="6" t="s">
        <v>97</v>
      </c>
      <c r="K12" s="6">
        <f>SUMIF(Cases!B2:B138,"Midfielder",Cases!F2:F138)</f>
        <v>63</v>
      </c>
    </row>
    <row r="13" ht="15.0" customHeight="1">
      <c r="A13" s="6"/>
      <c r="B13" s="6"/>
      <c r="C13" s="6"/>
      <c r="D13" s="6"/>
      <c r="E13" s="6"/>
      <c r="F13" s="6"/>
      <c r="G13" s="6"/>
      <c r="H13" s="6"/>
      <c r="J13" s="6" t="s">
        <v>153</v>
      </c>
      <c r="K13" s="6">
        <f>SUMIF(Cases!B2:B138,"Attacking midfielder",Cases!F2:F138)</f>
        <v>33</v>
      </c>
    </row>
    <row r="14" ht="18.0" customHeight="1">
      <c r="A14" s="27" t="s">
        <v>154</v>
      </c>
      <c r="B14" s="3"/>
      <c r="C14" s="3"/>
      <c r="D14" s="3"/>
      <c r="E14" s="3"/>
      <c r="F14" s="3"/>
      <c r="G14" s="3"/>
      <c r="H14" s="5"/>
      <c r="J14" s="6" t="s">
        <v>155</v>
      </c>
      <c r="K14" s="6">
        <f>SUMIF(Cases!B2:B138,"Winger",Cases!F2:F138)</f>
        <v>28.2</v>
      </c>
    </row>
    <row r="15" ht="45.0" customHeight="1">
      <c r="A15" s="28" t="s">
        <v>158</v>
      </c>
      <c r="B15" s="29" t="s">
        <v>159</v>
      </c>
      <c r="J15" s="6" t="s">
        <v>160</v>
      </c>
      <c r="K15" s="6">
        <f>SUMIF(Cases!B2:B138,"Right-back",Cases!F2:F138)</f>
        <v>51.7</v>
      </c>
    </row>
    <row r="16" ht="45.0" customHeight="1">
      <c r="A16" s="28" t="s">
        <v>162</v>
      </c>
      <c r="B16" s="29" t="s">
        <v>164</v>
      </c>
      <c r="J16" s="6" t="s">
        <v>165</v>
      </c>
      <c r="K16" s="6">
        <f>SUMIF(Cases!B2:B138,"Left-back",Cases!F2:F138)</f>
        <v>46.9</v>
      </c>
    </row>
    <row r="17" ht="45.0" customHeight="1">
      <c r="A17" s="28" t="s">
        <v>166</v>
      </c>
      <c r="B17" s="29" t="s">
        <v>167</v>
      </c>
      <c r="J17" s="6" t="s">
        <v>168</v>
      </c>
      <c r="K17" s="6">
        <f>SUMIF(Cases!B2:B138,"Centre-back",Cases!F2:F138)</f>
        <v>35.3</v>
      </c>
    </row>
    <row r="18" ht="45.0" customHeight="1">
      <c r="A18" s="28" t="s">
        <v>170</v>
      </c>
      <c r="B18" s="29" t="s">
        <v>172</v>
      </c>
      <c r="J18" s="6"/>
      <c r="K18" s="6"/>
    </row>
    <row r="19" ht="45.0" customHeight="1">
      <c r="A19" s="28" t="s">
        <v>173</v>
      </c>
      <c r="B19" s="29" t="s">
        <v>174</v>
      </c>
      <c r="J19" s="6"/>
      <c r="K19" s="6"/>
    </row>
    <row r="20">
      <c r="A20" s="6"/>
      <c r="B20" s="6"/>
      <c r="C20" s="6"/>
      <c r="D20" s="6"/>
      <c r="E20" s="6"/>
      <c r="F20" s="6"/>
      <c r="G20" s="6"/>
      <c r="H20" s="6"/>
      <c r="J20" s="6"/>
      <c r="K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J21" s="6"/>
      <c r="K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J22" s="6"/>
      <c r="K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J23" s="6"/>
      <c r="K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J24" s="6"/>
      <c r="K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J25" s="6"/>
      <c r="K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J26" s="6"/>
      <c r="K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J27" s="6"/>
      <c r="K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J28" s="6"/>
      <c r="K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J29" s="6"/>
      <c r="K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J30" s="6"/>
      <c r="K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J31" s="6"/>
      <c r="K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J32" s="6"/>
      <c r="K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J33" s="6"/>
      <c r="K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J34" s="6"/>
      <c r="K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J35" s="6"/>
      <c r="K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J36" s="6"/>
      <c r="K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J37" s="6"/>
      <c r="K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J38" s="6"/>
      <c r="K38" s="6"/>
    </row>
    <row r="39" ht="18.0" customHeight="1">
      <c r="A39" s="31" t="s">
        <v>186</v>
      </c>
      <c r="B39" s="3"/>
      <c r="C39" s="3"/>
      <c r="D39" s="3"/>
      <c r="E39" s="3"/>
      <c r="F39" s="3"/>
      <c r="G39" s="3"/>
      <c r="H39" s="5"/>
      <c r="J39" s="6"/>
      <c r="K39" s="6"/>
    </row>
    <row r="40" ht="15.0" customHeight="1">
      <c r="A40" s="32" t="s">
        <v>189</v>
      </c>
      <c r="B40" s="33"/>
      <c r="C40" s="33"/>
      <c r="D40" s="33"/>
      <c r="E40" s="33"/>
      <c r="F40" s="33"/>
      <c r="G40" s="33"/>
      <c r="H40" s="34"/>
      <c r="J40" s="6"/>
      <c r="K40" s="6"/>
    </row>
    <row r="41" ht="15.0" customHeight="1">
      <c r="A41" s="35"/>
      <c r="H41" s="36"/>
      <c r="J41" s="6"/>
      <c r="K41" s="6"/>
    </row>
    <row r="42" ht="15.0" customHeight="1">
      <c r="A42" s="37"/>
      <c r="B42" s="38"/>
      <c r="C42" s="38"/>
      <c r="D42" s="38"/>
      <c r="E42" s="38"/>
      <c r="F42" s="38"/>
      <c r="G42" s="38"/>
      <c r="H42" s="39"/>
      <c r="J42" s="6"/>
      <c r="K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J43" s="6"/>
      <c r="K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J44" s="6"/>
      <c r="K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J45" s="6"/>
      <c r="K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J46" s="6"/>
      <c r="K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J47" s="6"/>
      <c r="K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J48" s="6"/>
      <c r="K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J49" s="6"/>
      <c r="K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J50" s="6"/>
      <c r="K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J51" s="6"/>
      <c r="K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J52" s="6"/>
      <c r="K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J53" s="6"/>
      <c r="K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J54" s="6"/>
      <c r="K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J55" s="6"/>
      <c r="K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J56" s="6"/>
      <c r="K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J57" s="6"/>
      <c r="K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J58" s="6"/>
      <c r="K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J59" s="6"/>
      <c r="K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J60" s="6"/>
      <c r="K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J61" s="6"/>
      <c r="K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J62" s="6"/>
      <c r="K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J63" s="6"/>
      <c r="K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J64" s="6"/>
      <c r="K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J65" s="6"/>
      <c r="K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J66" s="6"/>
      <c r="K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J67" s="6"/>
      <c r="K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J68" s="6"/>
      <c r="K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J69" s="6"/>
      <c r="K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J70" s="6"/>
      <c r="K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J71" s="6"/>
      <c r="K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J72" s="6"/>
      <c r="K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J73" s="6"/>
      <c r="K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J74" s="6"/>
      <c r="K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J75" s="6"/>
      <c r="K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J76" s="6"/>
      <c r="K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J77" s="6"/>
      <c r="K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J78" s="6"/>
      <c r="K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J79" s="6"/>
      <c r="K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J80" s="6"/>
      <c r="K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J81" s="6"/>
      <c r="K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J82" s="6"/>
      <c r="K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J83" s="6"/>
      <c r="K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J84" s="6"/>
      <c r="K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J85" s="6"/>
      <c r="K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J86" s="6"/>
      <c r="K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J87" s="6"/>
      <c r="K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J88" s="6"/>
      <c r="K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J89" s="6"/>
      <c r="K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J90" s="6"/>
      <c r="K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J91" s="6"/>
      <c r="K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J92" s="6"/>
      <c r="K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J93" s="6"/>
      <c r="K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J94" s="6"/>
      <c r="K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J95" s="6"/>
      <c r="K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J96" s="6"/>
      <c r="K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J97" s="6"/>
      <c r="K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J98" s="6"/>
      <c r="K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J99" s="6"/>
      <c r="K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J100" s="6"/>
      <c r="K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J101" s="6"/>
      <c r="K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J102" s="6"/>
      <c r="K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J103" s="6"/>
      <c r="K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J104" s="6"/>
      <c r="K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J105" s="6"/>
      <c r="K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J106" s="6"/>
      <c r="K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J107" s="6"/>
      <c r="K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J108" s="6"/>
      <c r="K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J109" s="6"/>
      <c r="K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J110" s="6"/>
      <c r="K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J111" s="6"/>
      <c r="K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J112" s="6"/>
      <c r="K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J113" s="6"/>
      <c r="K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J114" s="6"/>
      <c r="K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J115" s="6"/>
      <c r="K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J116" s="6"/>
      <c r="K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J117" s="6"/>
      <c r="K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J118" s="6"/>
      <c r="K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J119" s="6"/>
      <c r="K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J120" s="6"/>
      <c r="K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J121" s="6"/>
      <c r="K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J122" s="6"/>
      <c r="K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J123" s="6"/>
      <c r="K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J124" s="6"/>
      <c r="K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J125" s="6"/>
      <c r="K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J126" s="6"/>
      <c r="K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J127" s="6"/>
      <c r="K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J128" s="6"/>
      <c r="K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J129" s="6"/>
      <c r="K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J130" s="6"/>
      <c r="K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J131" s="6"/>
      <c r="K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J132" s="6"/>
      <c r="K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J133" s="6"/>
      <c r="K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J134" s="6"/>
      <c r="K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J135" s="6"/>
      <c r="K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J136" s="6"/>
      <c r="K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J137" s="6"/>
      <c r="K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J138" s="6"/>
      <c r="K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J139" s="6"/>
      <c r="K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J140" s="6"/>
      <c r="K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J141" s="6"/>
      <c r="K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J142" s="6"/>
      <c r="K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J143" s="6"/>
      <c r="K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J144" s="6"/>
      <c r="K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J145" s="6"/>
      <c r="K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J146" s="6"/>
      <c r="K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J147" s="6"/>
      <c r="K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J148" s="6"/>
      <c r="K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J149" s="6"/>
      <c r="K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J150" s="6"/>
      <c r="K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J151" s="6"/>
      <c r="K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J152" s="6"/>
      <c r="K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J153" s="6"/>
      <c r="K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J154" s="6"/>
      <c r="K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J155" s="6"/>
      <c r="K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J156" s="6"/>
      <c r="K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J157" s="6"/>
      <c r="K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J158" s="6"/>
      <c r="K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J159" s="6"/>
      <c r="K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J160" s="6"/>
      <c r="K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J161" s="6"/>
      <c r="K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J162" s="6"/>
      <c r="K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J163" s="6"/>
      <c r="K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J164" s="6"/>
      <c r="K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J165" s="6"/>
      <c r="K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J166" s="6"/>
      <c r="K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J167" s="6"/>
      <c r="K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J168" s="6"/>
      <c r="K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J169" s="6"/>
      <c r="K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J170" s="6"/>
      <c r="K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J171" s="6"/>
      <c r="K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J172" s="6"/>
      <c r="K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J173" s="6"/>
      <c r="K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J174" s="6"/>
      <c r="K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J175" s="6"/>
      <c r="K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J176" s="6"/>
      <c r="K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J177" s="6"/>
      <c r="K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J178" s="6"/>
      <c r="K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J179" s="6"/>
      <c r="K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J180" s="6"/>
      <c r="K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J181" s="6"/>
      <c r="K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J182" s="6"/>
      <c r="K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J183" s="6"/>
      <c r="K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J184" s="6"/>
      <c r="K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J185" s="6"/>
      <c r="K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J186" s="6"/>
      <c r="K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J187" s="6"/>
      <c r="K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J188" s="6"/>
      <c r="K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J189" s="6"/>
      <c r="K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J190" s="6"/>
      <c r="K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J191" s="6"/>
      <c r="K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J192" s="6"/>
      <c r="K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J193" s="6"/>
      <c r="K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J194" s="6"/>
      <c r="K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J195" s="6"/>
      <c r="K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J196" s="6"/>
      <c r="K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J197" s="6"/>
      <c r="K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J198" s="6"/>
      <c r="K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J199" s="6"/>
      <c r="K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J200" s="6"/>
      <c r="K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J201" s="6"/>
      <c r="K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J202" s="6"/>
      <c r="K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J203" s="6"/>
      <c r="K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J204" s="6"/>
      <c r="K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J205" s="6"/>
      <c r="K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J206" s="6"/>
      <c r="K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J207" s="6"/>
      <c r="K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J208" s="6"/>
      <c r="K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J209" s="6"/>
      <c r="K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J210" s="6"/>
      <c r="K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J211" s="6"/>
      <c r="K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J212" s="6"/>
      <c r="K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J213" s="6"/>
      <c r="K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J214" s="6"/>
      <c r="K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J215" s="6"/>
      <c r="K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J216" s="6"/>
      <c r="K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J217" s="6"/>
      <c r="K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J218" s="6"/>
      <c r="K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J219" s="6"/>
      <c r="K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J220" s="6"/>
      <c r="K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J221" s="6"/>
      <c r="K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J222" s="6"/>
      <c r="K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J223" s="6"/>
      <c r="K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J224" s="6"/>
      <c r="K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J225" s="6"/>
      <c r="K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J226" s="6"/>
      <c r="K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J227" s="6"/>
      <c r="K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J228" s="6"/>
      <c r="K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J229" s="6"/>
      <c r="K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J230" s="6"/>
      <c r="K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J231" s="6"/>
      <c r="K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J232" s="6"/>
      <c r="K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J233" s="6"/>
      <c r="K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J234" s="6"/>
      <c r="K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J235" s="6"/>
      <c r="K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J236" s="6"/>
      <c r="K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J237" s="6"/>
      <c r="K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J238" s="6"/>
      <c r="K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J239" s="6"/>
      <c r="K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J240" s="6"/>
      <c r="K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J241" s="6"/>
      <c r="K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J242" s="6"/>
      <c r="K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J243" s="6"/>
      <c r="K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J244" s="6"/>
      <c r="K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J245" s="6"/>
      <c r="K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J246" s="6"/>
      <c r="K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J247" s="6"/>
      <c r="K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J248" s="6"/>
      <c r="K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J249" s="6"/>
      <c r="K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J250" s="6"/>
      <c r="K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J251" s="6"/>
      <c r="K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J252" s="6"/>
      <c r="K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J253" s="6"/>
      <c r="K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J254" s="6"/>
      <c r="K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J255" s="6"/>
      <c r="K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J256" s="6"/>
      <c r="K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J257" s="6"/>
      <c r="K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J258" s="6"/>
      <c r="K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J259" s="6"/>
      <c r="K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J260" s="6"/>
      <c r="K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J261" s="6"/>
      <c r="K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J262" s="6"/>
      <c r="K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J263" s="6"/>
      <c r="K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J264" s="6"/>
      <c r="K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J265" s="6"/>
      <c r="K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J266" s="6"/>
      <c r="K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J267" s="6"/>
      <c r="K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J268" s="6"/>
      <c r="K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J269" s="6"/>
      <c r="K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J270" s="6"/>
      <c r="K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J271" s="6"/>
      <c r="K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J272" s="6"/>
      <c r="K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J273" s="6"/>
      <c r="K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J274" s="6"/>
      <c r="K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J275" s="6"/>
      <c r="K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J276" s="6"/>
      <c r="K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J277" s="6"/>
      <c r="K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J278" s="6"/>
      <c r="K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J279" s="6"/>
      <c r="K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J280" s="6"/>
      <c r="K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J281" s="6"/>
      <c r="K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J282" s="6"/>
      <c r="K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J283" s="6"/>
      <c r="K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J284" s="6"/>
      <c r="K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J285" s="6"/>
      <c r="K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J286" s="6"/>
      <c r="K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J287" s="6"/>
      <c r="K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J288" s="6"/>
      <c r="K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J289" s="6"/>
      <c r="K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J290" s="6"/>
      <c r="K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J291" s="6"/>
      <c r="K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J292" s="6"/>
      <c r="K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J293" s="6"/>
      <c r="K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J294" s="6"/>
      <c r="K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J295" s="6"/>
      <c r="K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J296" s="6"/>
      <c r="K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J297" s="6"/>
      <c r="K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J298" s="6"/>
      <c r="K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J299" s="6"/>
      <c r="K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J300" s="6"/>
      <c r="K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J301" s="6"/>
      <c r="K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J302" s="6"/>
      <c r="K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J303" s="6"/>
      <c r="K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J304" s="6"/>
      <c r="K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J305" s="6"/>
      <c r="K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J306" s="6"/>
      <c r="K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J307" s="6"/>
      <c r="K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J308" s="6"/>
      <c r="K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J309" s="6"/>
      <c r="K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J310" s="6"/>
      <c r="K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J311" s="6"/>
      <c r="K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J312" s="6"/>
      <c r="K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J313" s="6"/>
      <c r="K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J314" s="6"/>
      <c r="K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J315" s="6"/>
      <c r="K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J316" s="6"/>
      <c r="K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J317" s="6"/>
      <c r="K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J318" s="6"/>
      <c r="K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J319" s="6"/>
      <c r="K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J320" s="6"/>
      <c r="K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J321" s="6"/>
      <c r="K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J322" s="6"/>
      <c r="K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J323" s="6"/>
      <c r="K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J324" s="6"/>
      <c r="K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J325" s="6"/>
      <c r="K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J326" s="6"/>
      <c r="K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J327" s="6"/>
      <c r="K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J328" s="6"/>
      <c r="K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J329" s="6"/>
      <c r="K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J330" s="6"/>
      <c r="K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J331" s="6"/>
      <c r="K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J332" s="6"/>
      <c r="K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J333" s="6"/>
      <c r="K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J334" s="6"/>
      <c r="K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J335" s="6"/>
      <c r="K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J336" s="6"/>
      <c r="K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J337" s="6"/>
      <c r="K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J338" s="6"/>
      <c r="K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J339" s="6"/>
      <c r="K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J340" s="6"/>
      <c r="K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J341" s="6"/>
      <c r="K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J342" s="6"/>
      <c r="K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J343" s="6"/>
      <c r="K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J344" s="6"/>
      <c r="K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J345" s="6"/>
      <c r="K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J346" s="6"/>
      <c r="K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J347" s="6"/>
      <c r="K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J348" s="6"/>
      <c r="K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J349" s="6"/>
      <c r="K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J350" s="6"/>
      <c r="K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J351" s="6"/>
      <c r="K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J352" s="6"/>
      <c r="K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J353" s="6"/>
      <c r="K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J354" s="6"/>
      <c r="K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J355" s="6"/>
      <c r="K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J356" s="6"/>
      <c r="K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J357" s="6"/>
      <c r="K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J358" s="6"/>
      <c r="K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J359" s="6"/>
      <c r="K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J360" s="6"/>
      <c r="K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J361" s="6"/>
      <c r="K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J362" s="6"/>
      <c r="K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J363" s="6"/>
      <c r="K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J364" s="6"/>
      <c r="K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J365" s="6"/>
      <c r="K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J366" s="6"/>
      <c r="K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J367" s="6"/>
      <c r="K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J368" s="6"/>
      <c r="K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J369" s="6"/>
      <c r="K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J370" s="6"/>
      <c r="K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J371" s="6"/>
      <c r="K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J372" s="6"/>
      <c r="K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J373" s="6"/>
      <c r="K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J374" s="6"/>
      <c r="K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J375" s="6"/>
      <c r="K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J376" s="6"/>
      <c r="K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J377" s="6"/>
      <c r="K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J378" s="6"/>
      <c r="K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J379" s="6"/>
      <c r="K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J380" s="6"/>
      <c r="K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J381" s="6"/>
      <c r="K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J382" s="6"/>
      <c r="K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J383" s="6"/>
      <c r="K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J384" s="6"/>
      <c r="K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J385" s="6"/>
      <c r="K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J386" s="6"/>
      <c r="K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J387" s="6"/>
      <c r="K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J388" s="6"/>
      <c r="K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J389" s="6"/>
      <c r="K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J390" s="6"/>
      <c r="K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J391" s="6"/>
      <c r="K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J392" s="6"/>
      <c r="K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J393" s="6"/>
      <c r="K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J394" s="6"/>
      <c r="K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J395" s="6"/>
      <c r="K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J396" s="6"/>
      <c r="K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J397" s="6"/>
      <c r="K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J398" s="6"/>
      <c r="K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J399" s="6"/>
      <c r="K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J400" s="6"/>
      <c r="K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J401" s="6"/>
      <c r="K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J402" s="6"/>
      <c r="K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J403" s="6"/>
      <c r="K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J404" s="6"/>
      <c r="K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J405" s="6"/>
      <c r="K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J406" s="6"/>
      <c r="K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J407" s="6"/>
      <c r="K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J408" s="6"/>
      <c r="K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J409" s="6"/>
      <c r="K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J410" s="6"/>
      <c r="K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J411" s="6"/>
      <c r="K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J412" s="6"/>
      <c r="K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J413" s="6"/>
      <c r="K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J414" s="6"/>
      <c r="K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J415" s="6"/>
      <c r="K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J416" s="6"/>
      <c r="K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J417" s="6"/>
      <c r="K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J418" s="6"/>
      <c r="K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J419" s="6"/>
      <c r="K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J420" s="6"/>
      <c r="K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J421" s="6"/>
      <c r="K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J422" s="6"/>
      <c r="K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J423" s="6"/>
      <c r="K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J424" s="6"/>
      <c r="K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J425" s="6"/>
      <c r="K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J426" s="6"/>
      <c r="K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J427" s="6"/>
      <c r="K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J428" s="6"/>
      <c r="K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J429" s="6"/>
      <c r="K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J430" s="6"/>
      <c r="K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J431" s="6"/>
      <c r="K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J432" s="6"/>
      <c r="K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J433" s="6"/>
      <c r="K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J434" s="6"/>
      <c r="K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J435" s="6"/>
      <c r="K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J436" s="6"/>
      <c r="K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J437" s="6"/>
      <c r="K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J438" s="6"/>
      <c r="K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J439" s="6"/>
      <c r="K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J440" s="6"/>
      <c r="K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J441" s="6"/>
      <c r="K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J442" s="6"/>
      <c r="K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J443" s="6"/>
      <c r="K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J444" s="6"/>
      <c r="K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J445" s="6"/>
      <c r="K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J446" s="6"/>
      <c r="K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J447" s="6"/>
      <c r="K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J448" s="6"/>
      <c r="K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J449" s="6"/>
      <c r="K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J450" s="6"/>
      <c r="K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J451" s="6"/>
      <c r="K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J452" s="6"/>
      <c r="K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J453" s="6"/>
      <c r="K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J454" s="6"/>
      <c r="K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J455" s="6"/>
      <c r="K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J456" s="6"/>
      <c r="K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J457" s="6"/>
      <c r="K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J458" s="6"/>
      <c r="K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J459" s="6"/>
      <c r="K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J460" s="6"/>
      <c r="K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J461" s="6"/>
      <c r="K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J462" s="6"/>
      <c r="K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J463" s="6"/>
      <c r="K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J464" s="6"/>
      <c r="K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J465" s="6"/>
      <c r="K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J466" s="6"/>
      <c r="K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J467" s="6"/>
      <c r="K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J468" s="6"/>
      <c r="K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J469" s="6"/>
      <c r="K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J470" s="6"/>
      <c r="K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J471" s="6"/>
      <c r="K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J472" s="6"/>
      <c r="K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J473" s="6"/>
      <c r="K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J474" s="6"/>
      <c r="K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J475" s="6"/>
      <c r="K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J476" s="6"/>
      <c r="K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J477" s="6"/>
      <c r="K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J478" s="6"/>
      <c r="K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J479" s="6"/>
      <c r="K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J480" s="6"/>
      <c r="K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J481" s="6"/>
      <c r="K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J482" s="6"/>
      <c r="K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J483" s="6"/>
      <c r="K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J484" s="6"/>
      <c r="K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J485" s="6"/>
      <c r="K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J486" s="6"/>
      <c r="K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J487" s="6"/>
      <c r="K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J488" s="6"/>
      <c r="K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J489" s="6"/>
      <c r="K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J490" s="6"/>
      <c r="K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J491" s="6"/>
      <c r="K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J492" s="6"/>
      <c r="K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J493" s="6"/>
      <c r="K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J494" s="6"/>
      <c r="K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J495" s="6"/>
      <c r="K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J496" s="6"/>
      <c r="K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J497" s="6"/>
      <c r="K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J498" s="6"/>
      <c r="K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J499" s="6"/>
      <c r="K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J500" s="6"/>
      <c r="K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J501" s="6"/>
      <c r="K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J502" s="6"/>
      <c r="K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J503" s="6"/>
      <c r="K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J504" s="6"/>
      <c r="K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J505" s="6"/>
      <c r="K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J506" s="6"/>
      <c r="K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J507" s="6"/>
      <c r="K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J508" s="6"/>
      <c r="K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J509" s="6"/>
      <c r="K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J510" s="6"/>
      <c r="K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J511" s="6"/>
      <c r="K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J512" s="6"/>
      <c r="K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J513" s="6"/>
      <c r="K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J514" s="6"/>
      <c r="K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J515" s="6"/>
      <c r="K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J516" s="6"/>
      <c r="K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J517" s="6"/>
      <c r="K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J518" s="6"/>
      <c r="K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J519" s="6"/>
      <c r="K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J520" s="6"/>
      <c r="K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J521" s="6"/>
      <c r="K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J522" s="6"/>
      <c r="K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J523" s="6"/>
      <c r="K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J524" s="6"/>
      <c r="K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J525" s="6"/>
      <c r="K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J526" s="6"/>
      <c r="K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J527" s="6"/>
      <c r="K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J528" s="6"/>
      <c r="K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J529" s="6"/>
      <c r="K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J530" s="6"/>
      <c r="K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J531" s="6"/>
      <c r="K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J532" s="6"/>
      <c r="K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J533" s="6"/>
      <c r="K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J534" s="6"/>
      <c r="K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J535" s="6"/>
      <c r="K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J536" s="6"/>
      <c r="K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J537" s="6"/>
      <c r="K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J538" s="6"/>
      <c r="K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J539" s="6"/>
      <c r="K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J540" s="6"/>
      <c r="K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J541" s="6"/>
      <c r="K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J542" s="6"/>
      <c r="K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J543" s="6"/>
      <c r="K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J544" s="6"/>
      <c r="K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J545" s="6"/>
      <c r="K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J546" s="6"/>
      <c r="K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J547" s="6"/>
      <c r="K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J548" s="6"/>
      <c r="K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J549" s="6"/>
      <c r="K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J550" s="6"/>
      <c r="K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J551" s="6"/>
      <c r="K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J552" s="6"/>
      <c r="K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J553" s="6"/>
      <c r="K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J554" s="6"/>
      <c r="K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J555" s="6"/>
      <c r="K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J556" s="6"/>
      <c r="K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J557" s="6"/>
      <c r="K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J558" s="6"/>
      <c r="K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J559" s="6"/>
      <c r="K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J560" s="6"/>
      <c r="K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J561" s="6"/>
      <c r="K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J562" s="6"/>
      <c r="K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J563" s="6"/>
      <c r="K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J564" s="6"/>
      <c r="K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J565" s="6"/>
      <c r="K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J566" s="6"/>
      <c r="K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J567" s="6"/>
      <c r="K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J568" s="6"/>
      <c r="K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J569" s="6"/>
      <c r="K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J570" s="6"/>
      <c r="K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J571" s="6"/>
      <c r="K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J572" s="6"/>
      <c r="K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J573" s="6"/>
      <c r="K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J574" s="6"/>
      <c r="K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J575" s="6"/>
      <c r="K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J576" s="6"/>
      <c r="K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J577" s="6"/>
      <c r="K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J578" s="6"/>
      <c r="K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J579" s="6"/>
      <c r="K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J580" s="6"/>
      <c r="K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J581" s="6"/>
      <c r="K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J582" s="6"/>
      <c r="K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J583" s="6"/>
      <c r="K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J584" s="6"/>
      <c r="K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J585" s="6"/>
      <c r="K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J586" s="6"/>
      <c r="K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J587" s="6"/>
      <c r="K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J588" s="6"/>
      <c r="K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J589" s="6"/>
      <c r="K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J590" s="6"/>
      <c r="K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J591" s="6"/>
      <c r="K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J592" s="6"/>
      <c r="K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J593" s="6"/>
      <c r="K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J594" s="6"/>
      <c r="K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J595" s="6"/>
      <c r="K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J596" s="6"/>
      <c r="K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J597" s="6"/>
      <c r="K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J598" s="6"/>
      <c r="K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J599" s="6"/>
      <c r="K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J600" s="6"/>
      <c r="K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J601" s="6"/>
      <c r="K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J602" s="6"/>
      <c r="K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J603" s="6"/>
      <c r="K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J604" s="6"/>
      <c r="K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J605" s="6"/>
      <c r="K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J606" s="6"/>
      <c r="K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J607" s="6"/>
      <c r="K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J608" s="6"/>
      <c r="K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J609" s="6"/>
      <c r="K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J610" s="6"/>
      <c r="K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J611" s="6"/>
      <c r="K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J612" s="6"/>
      <c r="K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J613" s="6"/>
      <c r="K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J614" s="6"/>
      <c r="K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J615" s="6"/>
      <c r="K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J616" s="6"/>
      <c r="K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J617" s="6"/>
      <c r="K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J618" s="6"/>
      <c r="K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J619" s="6"/>
      <c r="K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J620" s="6"/>
      <c r="K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J621" s="6"/>
      <c r="K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J622" s="6"/>
      <c r="K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J623" s="6"/>
      <c r="K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J624" s="6"/>
      <c r="K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J625" s="6"/>
      <c r="K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J626" s="6"/>
      <c r="K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J627" s="6"/>
      <c r="K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J628" s="6"/>
      <c r="K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J629" s="6"/>
      <c r="K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J630" s="6"/>
      <c r="K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J631" s="6"/>
      <c r="K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J632" s="6"/>
      <c r="K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J633" s="6"/>
      <c r="K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J634" s="6"/>
      <c r="K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J635" s="6"/>
      <c r="K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J636" s="6"/>
      <c r="K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J637" s="6"/>
      <c r="K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J638" s="6"/>
      <c r="K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J639" s="6"/>
      <c r="K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J640" s="6"/>
      <c r="K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J641" s="6"/>
      <c r="K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J642" s="6"/>
      <c r="K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J643" s="6"/>
      <c r="K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J644" s="6"/>
      <c r="K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J645" s="6"/>
      <c r="K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J646" s="6"/>
      <c r="K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J647" s="6"/>
      <c r="K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J648" s="6"/>
      <c r="K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J649" s="6"/>
      <c r="K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J650" s="6"/>
      <c r="K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J651" s="6"/>
      <c r="K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J652" s="6"/>
      <c r="K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J653" s="6"/>
      <c r="K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J654" s="6"/>
      <c r="K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J655" s="6"/>
      <c r="K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J656" s="6"/>
      <c r="K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J657" s="6"/>
      <c r="K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J658" s="6"/>
      <c r="K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J659" s="6"/>
      <c r="K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J660" s="6"/>
      <c r="K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J661" s="6"/>
      <c r="K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J662" s="6"/>
      <c r="K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J663" s="6"/>
      <c r="K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J664" s="6"/>
      <c r="K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J665" s="6"/>
      <c r="K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J666" s="6"/>
      <c r="K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J667" s="6"/>
      <c r="K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J668" s="6"/>
      <c r="K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J669" s="6"/>
      <c r="K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J670" s="6"/>
      <c r="K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J671" s="6"/>
      <c r="K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J672" s="6"/>
      <c r="K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J673" s="6"/>
      <c r="K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J674" s="6"/>
      <c r="K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J675" s="6"/>
      <c r="K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J676" s="6"/>
      <c r="K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J677" s="6"/>
      <c r="K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J678" s="6"/>
      <c r="K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J679" s="6"/>
      <c r="K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J680" s="6"/>
      <c r="K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J681" s="6"/>
      <c r="K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J682" s="6"/>
      <c r="K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J683" s="6"/>
      <c r="K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J684" s="6"/>
      <c r="K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J685" s="6"/>
      <c r="K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J686" s="6"/>
      <c r="K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J687" s="6"/>
      <c r="K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J688" s="6"/>
      <c r="K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J689" s="6"/>
      <c r="K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J690" s="6"/>
      <c r="K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J691" s="6"/>
      <c r="K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J692" s="6"/>
      <c r="K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J693" s="6"/>
      <c r="K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J694" s="6"/>
      <c r="K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J695" s="6"/>
      <c r="K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J696" s="6"/>
      <c r="K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J697" s="6"/>
      <c r="K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J698" s="6"/>
      <c r="K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J699" s="6"/>
      <c r="K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J700" s="6"/>
      <c r="K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J701" s="6"/>
      <c r="K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J702" s="6"/>
      <c r="K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J703" s="6"/>
      <c r="K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J704" s="6"/>
      <c r="K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J705" s="6"/>
      <c r="K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J706" s="6"/>
      <c r="K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J707" s="6"/>
      <c r="K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J708" s="6"/>
      <c r="K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J709" s="6"/>
      <c r="K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J710" s="6"/>
      <c r="K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J711" s="6"/>
      <c r="K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J712" s="6"/>
      <c r="K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J713" s="6"/>
      <c r="K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J714" s="6"/>
      <c r="K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J715" s="6"/>
      <c r="K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J716" s="6"/>
      <c r="K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J717" s="6"/>
      <c r="K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J718" s="6"/>
      <c r="K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J719" s="6"/>
      <c r="K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J720" s="6"/>
      <c r="K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J721" s="6"/>
      <c r="K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J722" s="6"/>
      <c r="K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J723" s="6"/>
      <c r="K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J724" s="6"/>
      <c r="K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J725" s="6"/>
      <c r="K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J726" s="6"/>
      <c r="K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J727" s="6"/>
      <c r="K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J728" s="6"/>
      <c r="K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J729" s="6"/>
      <c r="K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J730" s="6"/>
      <c r="K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J731" s="6"/>
      <c r="K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J732" s="6"/>
      <c r="K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J733" s="6"/>
      <c r="K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J734" s="6"/>
      <c r="K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J735" s="6"/>
      <c r="K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J736" s="6"/>
      <c r="K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J737" s="6"/>
      <c r="K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J738" s="6"/>
      <c r="K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J739" s="6"/>
      <c r="K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J740" s="6"/>
      <c r="K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J741" s="6"/>
      <c r="K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J742" s="6"/>
      <c r="K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J743" s="6"/>
      <c r="K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J744" s="6"/>
      <c r="K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J745" s="6"/>
      <c r="K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J746" s="6"/>
      <c r="K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J747" s="6"/>
      <c r="K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J748" s="6"/>
      <c r="K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J749" s="6"/>
      <c r="K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J750" s="6"/>
      <c r="K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J751" s="6"/>
      <c r="K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J752" s="6"/>
      <c r="K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J753" s="6"/>
      <c r="K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J754" s="6"/>
      <c r="K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J755" s="6"/>
      <c r="K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J756" s="6"/>
      <c r="K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J757" s="6"/>
      <c r="K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J758" s="6"/>
      <c r="K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J759" s="6"/>
      <c r="K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J760" s="6"/>
      <c r="K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J761" s="6"/>
      <c r="K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J762" s="6"/>
      <c r="K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J763" s="6"/>
      <c r="K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J764" s="6"/>
      <c r="K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J765" s="6"/>
      <c r="K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J766" s="6"/>
      <c r="K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J767" s="6"/>
      <c r="K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J768" s="6"/>
      <c r="K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J769" s="6"/>
      <c r="K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J770" s="6"/>
      <c r="K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J771" s="6"/>
      <c r="K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J772" s="6"/>
      <c r="K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J773" s="6"/>
      <c r="K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J774" s="6"/>
      <c r="K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J775" s="6"/>
      <c r="K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J776" s="6"/>
      <c r="K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J777" s="6"/>
      <c r="K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J778" s="6"/>
      <c r="K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J779" s="6"/>
      <c r="K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J780" s="6"/>
      <c r="K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J781" s="6"/>
      <c r="K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J782" s="6"/>
      <c r="K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J783" s="6"/>
      <c r="K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J784" s="6"/>
      <c r="K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J785" s="6"/>
      <c r="K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J786" s="6"/>
      <c r="K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J787" s="6"/>
      <c r="K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J788" s="6"/>
      <c r="K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J789" s="6"/>
      <c r="K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J790" s="6"/>
      <c r="K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J791" s="6"/>
      <c r="K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J792" s="6"/>
      <c r="K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J793" s="6"/>
      <c r="K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J794" s="6"/>
      <c r="K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J795" s="6"/>
      <c r="K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J796" s="6"/>
      <c r="K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J797" s="6"/>
      <c r="K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J798" s="6"/>
      <c r="K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J799" s="6"/>
      <c r="K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J800" s="6"/>
      <c r="K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J801" s="6"/>
      <c r="K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J802" s="6"/>
      <c r="K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J803" s="6"/>
      <c r="K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J804" s="6"/>
      <c r="K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J805" s="6"/>
      <c r="K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J806" s="6"/>
      <c r="K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J807" s="6"/>
      <c r="K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J808" s="6"/>
      <c r="K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J809" s="6"/>
      <c r="K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J810" s="6"/>
      <c r="K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J811" s="6"/>
      <c r="K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J812" s="6"/>
      <c r="K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J813" s="6"/>
      <c r="K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J814" s="6"/>
      <c r="K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J815" s="6"/>
      <c r="K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J816" s="6"/>
      <c r="K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J817" s="6"/>
      <c r="K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J818" s="6"/>
      <c r="K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J819" s="6"/>
      <c r="K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J820" s="6"/>
      <c r="K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J821" s="6"/>
      <c r="K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J822" s="6"/>
      <c r="K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J823" s="6"/>
      <c r="K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J824" s="6"/>
      <c r="K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J825" s="6"/>
      <c r="K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J826" s="6"/>
      <c r="K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J827" s="6"/>
      <c r="K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J828" s="6"/>
      <c r="K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J829" s="6"/>
      <c r="K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J830" s="6"/>
      <c r="K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J831" s="6"/>
      <c r="K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J832" s="6"/>
      <c r="K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J833" s="6"/>
      <c r="K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J834" s="6"/>
      <c r="K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J835" s="6"/>
      <c r="K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J836" s="6"/>
      <c r="K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J837" s="6"/>
      <c r="K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J838" s="6"/>
      <c r="K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J839" s="6"/>
      <c r="K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J840" s="6"/>
      <c r="K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J841" s="6"/>
      <c r="K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J842" s="6"/>
      <c r="K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J843" s="6"/>
      <c r="K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J844" s="6"/>
      <c r="K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J845" s="6"/>
      <c r="K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J846" s="6"/>
      <c r="K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J847" s="6"/>
      <c r="K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J848" s="6"/>
      <c r="K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J849" s="6"/>
      <c r="K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J850" s="6"/>
      <c r="K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J851" s="6"/>
      <c r="K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J852" s="6"/>
      <c r="K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J853" s="6"/>
      <c r="K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J854" s="6"/>
      <c r="K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J855" s="6"/>
      <c r="K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J856" s="6"/>
      <c r="K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J857" s="6"/>
      <c r="K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J858" s="6"/>
      <c r="K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J859" s="6"/>
      <c r="K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J860" s="6"/>
      <c r="K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J861" s="6"/>
      <c r="K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J862" s="6"/>
      <c r="K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J863" s="6"/>
      <c r="K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J864" s="6"/>
      <c r="K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J865" s="6"/>
      <c r="K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J866" s="6"/>
      <c r="K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J867" s="6"/>
      <c r="K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J868" s="6"/>
      <c r="K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J869" s="6"/>
      <c r="K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J870" s="6"/>
      <c r="K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J871" s="6"/>
      <c r="K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J872" s="6"/>
      <c r="K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J873" s="6"/>
      <c r="K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J874" s="6"/>
      <c r="K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J875" s="6"/>
      <c r="K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J876" s="6"/>
      <c r="K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J877" s="6"/>
      <c r="K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J878" s="6"/>
      <c r="K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J879" s="6"/>
      <c r="K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J880" s="6"/>
      <c r="K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J881" s="6"/>
      <c r="K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J882" s="6"/>
      <c r="K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J883" s="6"/>
      <c r="K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J884" s="6"/>
      <c r="K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J885" s="6"/>
      <c r="K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J886" s="6"/>
      <c r="K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J887" s="6"/>
      <c r="K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J888" s="6"/>
      <c r="K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J889" s="6"/>
      <c r="K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J890" s="6"/>
      <c r="K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J891" s="6"/>
      <c r="K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J892" s="6"/>
      <c r="K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J893" s="6"/>
      <c r="K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J894" s="6"/>
      <c r="K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J895" s="6"/>
      <c r="K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J896" s="6"/>
      <c r="K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J897" s="6"/>
      <c r="K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J898" s="6"/>
      <c r="K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J899" s="6"/>
      <c r="K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J900" s="6"/>
      <c r="K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J901" s="6"/>
      <c r="K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J902" s="6"/>
      <c r="K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J903" s="6"/>
      <c r="K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J904" s="6"/>
      <c r="K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J905" s="6"/>
      <c r="K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J906" s="6"/>
      <c r="K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J907" s="6"/>
      <c r="K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J908" s="6"/>
      <c r="K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J909" s="6"/>
      <c r="K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J910" s="6"/>
      <c r="K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J911" s="6"/>
      <c r="K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J912" s="6"/>
      <c r="K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J913" s="6"/>
      <c r="K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J914" s="6"/>
      <c r="K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J915" s="6"/>
      <c r="K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J916" s="6"/>
      <c r="K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J917" s="6"/>
      <c r="K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J918" s="6"/>
      <c r="K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J919" s="6"/>
      <c r="K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J920" s="6"/>
      <c r="K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J921" s="6"/>
      <c r="K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J922" s="6"/>
      <c r="K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J923" s="6"/>
      <c r="K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J924" s="6"/>
      <c r="K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J925" s="6"/>
      <c r="K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J926" s="6"/>
      <c r="K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J927" s="6"/>
      <c r="K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J928" s="6"/>
      <c r="K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J929" s="6"/>
      <c r="K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J930" s="6"/>
      <c r="K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J931" s="6"/>
      <c r="K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J932" s="6"/>
      <c r="K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J933" s="6"/>
      <c r="K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J934" s="6"/>
      <c r="K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J935" s="6"/>
      <c r="K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J936" s="6"/>
      <c r="K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J937" s="6"/>
      <c r="K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J938" s="6"/>
      <c r="K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J939" s="6"/>
      <c r="K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J940" s="6"/>
      <c r="K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J941" s="6"/>
      <c r="K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J942" s="6"/>
      <c r="K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J943" s="6"/>
      <c r="K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J944" s="6"/>
      <c r="K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J945" s="6"/>
      <c r="K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J946" s="6"/>
      <c r="K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J947" s="6"/>
      <c r="K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J948" s="6"/>
      <c r="K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J949" s="6"/>
      <c r="K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J950" s="6"/>
      <c r="K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J951" s="6"/>
      <c r="K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J952" s="6"/>
      <c r="K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J953" s="6"/>
      <c r="K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J954" s="6"/>
      <c r="K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J955" s="6"/>
      <c r="K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J956" s="6"/>
      <c r="K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J957" s="6"/>
      <c r="K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J958" s="6"/>
      <c r="K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J959" s="6"/>
      <c r="K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J960" s="6"/>
      <c r="K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J961" s="6"/>
      <c r="K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J962" s="6"/>
      <c r="K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J963" s="6"/>
      <c r="K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J964" s="6"/>
      <c r="K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J965" s="6"/>
      <c r="K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J966" s="6"/>
      <c r="K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J967" s="6"/>
      <c r="K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J968" s="6"/>
      <c r="K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J969" s="6"/>
      <c r="K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J970" s="6"/>
      <c r="K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J971" s="6"/>
      <c r="K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J972" s="6"/>
      <c r="K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J973" s="6"/>
      <c r="K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J974" s="6"/>
      <c r="K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J975" s="6"/>
      <c r="K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J976" s="6"/>
      <c r="K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J977" s="6"/>
      <c r="K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J978" s="6"/>
      <c r="K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J979" s="6"/>
      <c r="K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J980" s="6"/>
      <c r="K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J981" s="6"/>
      <c r="K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J982" s="6"/>
      <c r="K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J983" s="6"/>
      <c r="K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J984" s="6"/>
      <c r="K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J985" s="6"/>
      <c r="K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J986" s="6"/>
      <c r="K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J987" s="6"/>
      <c r="K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J988" s="6"/>
      <c r="K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J989" s="6"/>
      <c r="K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J990" s="6"/>
      <c r="K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J991" s="6"/>
      <c r="K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J992" s="6"/>
      <c r="K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J993" s="6"/>
      <c r="K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J994" s="6"/>
      <c r="K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J995" s="6"/>
      <c r="K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J996" s="6"/>
      <c r="K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J997" s="6"/>
      <c r="K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J998" s="6"/>
      <c r="K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J999" s="6"/>
      <c r="K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J1000" s="6"/>
      <c r="K1000" s="6"/>
    </row>
  </sheetData>
  <mergeCells count="10">
    <mergeCell ref="B19:H19"/>
    <mergeCell ref="A39:H39"/>
    <mergeCell ref="A40:H42"/>
    <mergeCell ref="A1:H1"/>
    <mergeCell ref="A2:H2"/>
    <mergeCell ref="A14:H14"/>
    <mergeCell ref="B15:H15"/>
    <mergeCell ref="B16:H16"/>
    <mergeCell ref="B17:H17"/>
    <mergeCell ref="B18:H1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3" width="24.0"/>
    <col customWidth="1" min="4" max="4" width="12.0"/>
    <col customWidth="1" min="5" max="5" width="24.0"/>
    <col customWidth="1" min="6" max="6" width="14.0"/>
    <col customWidth="1" min="7" max="26" width="8.71"/>
  </cols>
  <sheetData>
    <row r="1" ht="15.0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ht="15.0" customHeight="1">
      <c r="A2" s="6">
        <v>2008.0</v>
      </c>
      <c r="B2" s="6" t="s">
        <v>9</v>
      </c>
      <c r="C2" s="6" t="s">
        <v>10</v>
      </c>
      <c r="D2" s="9">
        <v>6.0</v>
      </c>
      <c r="E2" s="6" t="s">
        <v>16</v>
      </c>
      <c r="F2" s="6" t="str">
        <f>IF(Cases!N2&gt;0,"Yes","No")</f>
        <v>Yes</v>
      </c>
    </row>
    <row r="3" ht="15.0" customHeight="1">
      <c r="A3" s="6">
        <v>2009.0</v>
      </c>
      <c r="B3" s="6" t="s">
        <v>38</v>
      </c>
      <c r="C3" s="6" t="s">
        <v>39</v>
      </c>
      <c r="D3" s="9">
        <v>7.0</v>
      </c>
      <c r="E3" s="6" t="s">
        <v>16</v>
      </c>
      <c r="F3" s="6" t="str">
        <f>IF(Cases!N3&gt;0,"Yes","No")</f>
        <v>No</v>
      </c>
    </row>
    <row r="4" ht="15.0" customHeight="1">
      <c r="A4" s="6">
        <v>2009.0</v>
      </c>
      <c r="B4" s="6" t="s">
        <v>53</v>
      </c>
      <c r="C4" s="6" t="s">
        <v>54</v>
      </c>
      <c r="D4" s="9">
        <v>15.0</v>
      </c>
      <c r="E4" s="6" t="s">
        <v>22</v>
      </c>
      <c r="F4" s="6" t="str">
        <f>IF(Cases!N4&gt;0,"Yes","No")</f>
        <v>Yes</v>
      </c>
    </row>
    <row r="5" ht="15.0" customHeight="1">
      <c r="A5" s="6">
        <v>2008.0</v>
      </c>
      <c r="B5" s="6" t="s">
        <v>60</v>
      </c>
      <c r="C5" s="6" t="s">
        <v>10</v>
      </c>
      <c r="D5" s="9">
        <v>3.0</v>
      </c>
      <c r="E5" s="6" t="s">
        <v>22</v>
      </c>
      <c r="F5" s="6" t="str">
        <f>IF(Cases!N5&gt;0,"Yes","No")</f>
        <v>Yes</v>
      </c>
    </row>
    <row r="6" ht="15.0" customHeight="1">
      <c r="A6" s="6">
        <v>2009.0</v>
      </c>
      <c r="B6" s="6" t="s">
        <v>65</v>
      </c>
      <c r="C6" s="6" t="s">
        <v>10</v>
      </c>
      <c r="D6" s="9">
        <v>3.0</v>
      </c>
      <c r="E6" s="6" t="s">
        <v>22</v>
      </c>
      <c r="F6" s="6" t="str">
        <f>IF(Cases!N6&gt;0,"Yes","No")</f>
        <v>Yes</v>
      </c>
    </row>
    <row r="7" ht="15.0" customHeight="1">
      <c r="A7" s="6">
        <v>2007.0</v>
      </c>
      <c r="B7" s="6" t="s">
        <v>71</v>
      </c>
      <c r="C7" s="6" t="s">
        <v>72</v>
      </c>
      <c r="D7" s="9">
        <v>0.0</v>
      </c>
      <c r="E7" s="6" t="s">
        <v>16</v>
      </c>
      <c r="F7" s="6" t="str">
        <f>IF(Cases!N7&gt;0,"Yes","No")</f>
        <v>No</v>
      </c>
    </row>
    <row r="8" ht="15.0" customHeight="1">
      <c r="A8" s="6">
        <v>2007.0</v>
      </c>
      <c r="B8" s="6" t="s">
        <v>77</v>
      </c>
      <c r="C8" s="6" t="s">
        <v>79</v>
      </c>
      <c r="D8" s="9">
        <v>0.0</v>
      </c>
      <c r="E8" s="6" t="s">
        <v>82</v>
      </c>
      <c r="F8" s="6" t="str">
        <f>IF(Cases!N8&gt;0,"Yes","No")</f>
        <v>No</v>
      </c>
    </row>
    <row r="9" ht="15.0" customHeight="1">
      <c r="A9" s="6">
        <v>2008.0</v>
      </c>
      <c r="B9" s="6" t="s">
        <v>84</v>
      </c>
      <c r="C9" s="6" t="s">
        <v>85</v>
      </c>
      <c r="D9" s="9">
        <v>1.2</v>
      </c>
      <c r="E9" s="6" t="s">
        <v>16</v>
      </c>
      <c r="F9" s="6" t="str">
        <f>IF(Cases!N9&gt;0,"Yes","No")</f>
        <v>Yes</v>
      </c>
    </row>
    <row r="10" ht="15.0" customHeight="1">
      <c r="A10" s="6">
        <v>2012.0</v>
      </c>
      <c r="B10" s="6" t="s">
        <v>91</v>
      </c>
      <c r="C10" s="6" t="s">
        <v>92</v>
      </c>
      <c r="D10" s="9">
        <v>5.0</v>
      </c>
      <c r="E10" s="6" t="s">
        <v>22</v>
      </c>
      <c r="F10" s="6" t="str">
        <f>IF(Cases!N10&gt;0,"Yes","No")</f>
        <v>Yes</v>
      </c>
    </row>
    <row r="11" ht="15.0" customHeight="1">
      <c r="A11" s="6">
        <v>2011.0</v>
      </c>
      <c r="B11" s="6" t="s">
        <v>93</v>
      </c>
      <c r="C11" s="6" t="s">
        <v>10</v>
      </c>
      <c r="D11" s="9">
        <v>3.0</v>
      </c>
      <c r="E11" s="6" t="s">
        <v>16</v>
      </c>
      <c r="F11" s="6" t="str">
        <f>IF(Cases!N11&gt;0,"Yes","No")</f>
        <v>Yes</v>
      </c>
    </row>
    <row r="12" ht="15.0" customHeight="1">
      <c r="A12" s="6">
        <v>2012.0</v>
      </c>
      <c r="B12" s="6" t="s">
        <v>95</v>
      </c>
      <c r="C12" s="6" t="s">
        <v>96</v>
      </c>
      <c r="D12" s="9">
        <v>6.0</v>
      </c>
      <c r="E12" s="6" t="s">
        <v>16</v>
      </c>
      <c r="F12" s="6" t="str">
        <f>IF(Cases!N12&gt;0,"Yes","No")</f>
        <v>No</v>
      </c>
    </row>
    <row r="13" ht="15.0" customHeight="1">
      <c r="A13" s="6">
        <v>2014.0</v>
      </c>
      <c r="B13" s="6" t="s">
        <v>99</v>
      </c>
      <c r="C13" s="6" t="s">
        <v>100</v>
      </c>
      <c r="D13" s="9">
        <v>20.0</v>
      </c>
      <c r="E13" s="6" t="s">
        <v>22</v>
      </c>
      <c r="F13" s="6" t="str">
        <f>IF(Cases!N13&gt;0,"Yes","No")</f>
        <v>Yes</v>
      </c>
    </row>
    <row r="14" ht="15.0" customHeight="1">
      <c r="A14" s="6">
        <v>2016.0</v>
      </c>
      <c r="B14" s="6" t="s">
        <v>101</v>
      </c>
      <c r="C14" s="6" t="s">
        <v>102</v>
      </c>
      <c r="D14" s="9">
        <v>25.0</v>
      </c>
      <c r="E14" s="6" t="s">
        <v>16</v>
      </c>
      <c r="F14" s="6" t="str">
        <f>IF(Cases!N14&gt;0,"Yes","No")</f>
        <v>No</v>
      </c>
    </row>
    <row r="15" ht="15.0" customHeight="1">
      <c r="A15" s="6">
        <v>2017.0</v>
      </c>
      <c r="B15" s="6" t="s">
        <v>104</v>
      </c>
      <c r="C15" s="6" t="s">
        <v>105</v>
      </c>
      <c r="D15" s="9">
        <v>8.0</v>
      </c>
      <c r="E15" s="6" t="s">
        <v>98</v>
      </c>
      <c r="F15" s="6" t="str">
        <f>IF(Cases!N15&gt;0,"Yes","No")</f>
        <v>Yes</v>
      </c>
    </row>
    <row r="16" ht="15.0" customHeight="1">
      <c r="A16" s="6">
        <v>2019.0</v>
      </c>
      <c r="B16" s="6" t="s">
        <v>106</v>
      </c>
      <c r="C16" s="6" t="s">
        <v>107</v>
      </c>
      <c r="D16" s="9">
        <v>30.0</v>
      </c>
      <c r="E16" s="6" t="s">
        <v>16</v>
      </c>
      <c r="F16" s="6" t="str">
        <f>IF(Cases!N16&gt;0,"Yes","No")</f>
        <v>No</v>
      </c>
    </row>
    <row r="17" ht="15.0" customHeight="1">
      <c r="A17" s="6">
        <v>2019.0</v>
      </c>
      <c r="B17" s="6" t="s">
        <v>109</v>
      </c>
      <c r="C17" s="6" t="s">
        <v>39</v>
      </c>
      <c r="D17" s="9">
        <v>20.0</v>
      </c>
      <c r="E17" s="6" t="s">
        <v>16</v>
      </c>
      <c r="F17" s="6" t="str">
        <f>IF(Cases!N17&gt;0,"Yes","No")</f>
        <v>No</v>
      </c>
    </row>
    <row r="18" ht="15.0" customHeight="1">
      <c r="A18" s="6">
        <v>2020.0</v>
      </c>
      <c r="B18" s="6" t="s">
        <v>111</v>
      </c>
      <c r="C18" s="6" t="s">
        <v>112</v>
      </c>
      <c r="D18" s="9">
        <v>40.0</v>
      </c>
      <c r="E18" s="6" t="s">
        <v>16</v>
      </c>
      <c r="F18" s="6" t="str">
        <f>IF(Cases!N18&gt;0,"Yes","No")</f>
        <v>Yes</v>
      </c>
    </row>
    <row r="19" ht="15.0" customHeight="1">
      <c r="A19" s="6">
        <v>2020.0</v>
      </c>
      <c r="B19" s="6" t="s">
        <v>113</v>
      </c>
      <c r="C19" s="6" t="s">
        <v>115</v>
      </c>
      <c r="D19" s="9">
        <v>30.0</v>
      </c>
      <c r="E19" s="6" t="s">
        <v>22</v>
      </c>
      <c r="F19" s="6" t="str">
        <f>IF(Cases!N19&gt;0,"Yes","No")</f>
        <v>Yes</v>
      </c>
    </row>
    <row r="20" ht="15.0" customHeight="1">
      <c r="A20" s="6">
        <v>2020.0</v>
      </c>
      <c r="B20" s="6" t="s">
        <v>116</v>
      </c>
      <c r="C20" s="6" t="s">
        <v>117</v>
      </c>
      <c r="D20" s="9">
        <v>13.5</v>
      </c>
      <c r="E20" s="6" t="s">
        <v>67</v>
      </c>
      <c r="F20" s="6" t="str">
        <f>IF(Cases!N20&gt;0,"Yes","No")</f>
        <v>Yes</v>
      </c>
    </row>
    <row r="21" ht="15.0" customHeight="1">
      <c r="A21" s="6">
        <v>2021.0</v>
      </c>
      <c r="B21" s="6" t="s">
        <v>118</v>
      </c>
      <c r="C21" s="6" t="s">
        <v>119</v>
      </c>
      <c r="D21" s="9">
        <v>2.0</v>
      </c>
      <c r="E21" s="6" t="s">
        <v>67</v>
      </c>
      <c r="F21" s="6" t="str">
        <f>IF(Cases!N21&gt;0,"Yes","No")</f>
        <v>Yes</v>
      </c>
    </row>
    <row r="22" ht="15.0" customHeight="1">
      <c r="A22" s="6">
        <v>2022.0</v>
      </c>
      <c r="B22" s="6" t="s">
        <v>120</v>
      </c>
      <c r="C22" s="6" t="s">
        <v>121</v>
      </c>
      <c r="D22" s="9">
        <v>4.0</v>
      </c>
      <c r="E22" s="6" t="s">
        <v>67</v>
      </c>
      <c r="F22" s="6" t="str">
        <f>IF(Cases!N22&gt;0,"Yes","No")</f>
        <v>Yes</v>
      </c>
    </row>
    <row r="23" ht="15.0" customHeight="1">
      <c r="A23" s="6">
        <v>2022.0</v>
      </c>
      <c r="B23" s="6" t="s">
        <v>125</v>
      </c>
      <c r="C23" s="6" t="s">
        <v>126</v>
      </c>
      <c r="D23" s="9">
        <v>6.0</v>
      </c>
      <c r="E23" s="6" t="s">
        <v>67</v>
      </c>
      <c r="F23" s="6" t="str">
        <f>IF(Cases!N23&gt;0,"Yes","No")</f>
        <v>Yes</v>
      </c>
    </row>
    <row r="24" ht="15.0" customHeight="1">
      <c r="A24" s="6">
        <v>2023.0</v>
      </c>
      <c r="B24" s="6" t="s">
        <v>127</v>
      </c>
      <c r="C24" s="6" t="s">
        <v>128</v>
      </c>
      <c r="D24" s="9">
        <v>4.0</v>
      </c>
      <c r="E24" s="6" t="s">
        <v>67</v>
      </c>
      <c r="F24" s="6" t="str">
        <f>IF(Cases!N24&gt;0,"Yes","No")</f>
        <v>Yes</v>
      </c>
    </row>
    <row r="25" ht="15.0" customHeight="1">
      <c r="A25" s="6">
        <v>2023.0</v>
      </c>
      <c r="B25" s="6" t="s">
        <v>129</v>
      </c>
      <c r="C25" s="6" t="s">
        <v>130</v>
      </c>
      <c r="D25" s="9">
        <v>8.0</v>
      </c>
      <c r="E25" s="6" t="s">
        <v>67</v>
      </c>
      <c r="F25" s="6" t="str">
        <f>IF(Cases!N25&gt;0,"Yes","No")</f>
        <v>Yes</v>
      </c>
    </row>
    <row r="26" ht="15.0" customHeight="1">
      <c r="A26" s="6">
        <v>2023.0</v>
      </c>
      <c r="B26" s="6" t="s">
        <v>131</v>
      </c>
      <c r="C26" s="6" t="s">
        <v>132</v>
      </c>
      <c r="D26" s="9">
        <v>3.0</v>
      </c>
      <c r="E26" s="6" t="s">
        <v>67</v>
      </c>
      <c r="F26" s="6" t="str">
        <f>IF(Cases!N26&gt;0,"Yes","No")</f>
        <v>Yes</v>
      </c>
    </row>
    <row r="27" ht="15.0" customHeight="1">
      <c r="A27" s="6">
        <v>2024.0</v>
      </c>
      <c r="B27" s="6" t="s">
        <v>133</v>
      </c>
      <c r="C27" s="6" t="s">
        <v>134</v>
      </c>
      <c r="D27" s="9">
        <v>2.5</v>
      </c>
      <c r="E27" s="6" t="s">
        <v>67</v>
      </c>
      <c r="F27" s="6" t="str">
        <f>IF(Cases!N27&gt;0,"Yes","No")</f>
        <v>Yes</v>
      </c>
    </row>
    <row r="28" ht="15.0" customHeight="1">
      <c r="A28" s="6">
        <v>2024.0</v>
      </c>
      <c r="B28" s="6" t="s">
        <v>138</v>
      </c>
      <c r="C28" s="6" t="s">
        <v>10</v>
      </c>
      <c r="D28" s="9">
        <v>2.0</v>
      </c>
      <c r="E28" s="6" t="s">
        <v>67</v>
      </c>
      <c r="F28" s="6" t="str">
        <f>IF(Cases!N28&gt;0,"Yes","No")</f>
        <v>Yes</v>
      </c>
    </row>
    <row r="29" ht="15.0" customHeight="1">
      <c r="A29" s="6">
        <v>2024.0</v>
      </c>
      <c r="B29" s="6" t="s">
        <v>139</v>
      </c>
      <c r="C29" s="6" t="s">
        <v>140</v>
      </c>
      <c r="D29" s="9">
        <v>2.0</v>
      </c>
      <c r="E29" s="6" t="s">
        <v>67</v>
      </c>
      <c r="F29" s="6" t="str">
        <f>IF(Cases!N29&gt;0,"Yes","No")</f>
        <v>Yes</v>
      </c>
    </row>
    <row r="30" ht="15.0" customHeight="1">
      <c r="A30" s="6">
        <v>2024.0</v>
      </c>
      <c r="B30" s="6" t="s">
        <v>141</v>
      </c>
      <c r="C30" s="6" t="s">
        <v>142</v>
      </c>
      <c r="D30" s="9">
        <v>12.0</v>
      </c>
      <c r="E30" s="6" t="s">
        <v>22</v>
      </c>
      <c r="F30" s="6" t="str">
        <f>IF(Cases!N30&gt;0,"Yes","No")</f>
        <v>Yes</v>
      </c>
    </row>
    <row r="31" ht="15.0" customHeight="1">
      <c r="A31" s="6">
        <v>2024.0</v>
      </c>
      <c r="B31" s="6" t="s">
        <v>143</v>
      </c>
      <c r="C31" s="6" t="s">
        <v>144</v>
      </c>
      <c r="D31" s="9">
        <v>5.0</v>
      </c>
      <c r="E31" s="6" t="s">
        <v>22</v>
      </c>
      <c r="F31" s="6" t="str">
        <f>IF(Cases!N31&gt;0,"Yes","No")</f>
        <v>Yes</v>
      </c>
    </row>
    <row r="32" ht="15.0" customHeight="1">
      <c r="A32" s="6">
        <v>2024.0</v>
      </c>
      <c r="B32" s="6" t="s">
        <v>146</v>
      </c>
      <c r="C32" s="6" t="s">
        <v>147</v>
      </c>
      <c r="D32" s="9">
        <v>6.0</v>
      </c>
      <c r="E32" s="6" t="s">
        <v>67</v>
      </c>
      <c r="F32" s="6" t="str">
        <f>IF(Cases!N32&gt;0,"Yes","No")</f>
        <v>Yes</v>
      </c>
    </row>
    <row r="33" ht="15.0" customHeight="1">
      <c r="A33" s="6">
        <v>2025.0</v>
      </c>
      <c r="B33" s="6" t="s">
        <v>149</v>
      </c>
      <c r="C33" s="6" t="s">
        <v>10</v>
      </c>
      <c r="D33" s="9">
        <v>6.0</v>
      </c>
      <c r="E33" s="6" t="s">
        <v>67</v>
      </c>
      <c r="F33" s="6" t="str">
        <f>IF(Cases!N33&gt;0,"Yes","No")</f>
        <v>Yes</v>
      </c>
    </row>
    <row r="34" ht="15.0" customHeight="1">
      <c r="A34" s="6">
        <v>2020.0</v>
      </c>
      <c r="B34" s="6" t="s">
        <v>150</v>
      </c>
      <c r="C34" s="6" t="s">
        <v>132</v>
      </c>
      <c r="D34" s="9">
        <v>2.5</v>
      </c>
      <c r="E34" s="6" t="s">
        <v>67</v>
      </c>
      <c r="F34" s="6" t="str">
        <f>IF(Cases!N34&gt;0,"Yes","No")</f>
        <v>Yes</v>
      </c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autoFilter ref="$A$1:$F$34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10.0"/>
    <col customWidth="1" min="3" max="26" width="8.71"/>
  </cols>
  <sheetData>
    <row r="1" ht="15.0" customHeight="1">
      <c r="A1" s="1" t="s">
        <v>494</v>
      </c>
      <c r="B1" s="1" t="s">
        <v>495</v>
      </c>
    </row>
    <row r="2" ht="45.0" customHeight="1">
      <c r="A2" s="6" t="s">
        <v>17</v>
      </c>
      <c r="B2" s="29" t="s">
        <v>496</v>
      </c>
    </row>
    <row r="3" ht="45.0" customHeight="1">
      <c r="A3" s="6" t="s">
        <v>18</v>
      </c>
      <c r="B3" s="29" t="s">
        <v>497</v>
      </c>
    </row>
    <row r="4" ht="45.0" customHeight="1">
      <c r="A4" s="6" t="s">
        <v>19</v>
      </c>
      <c r="B4" s="29" t="s">
        <v>498</v>
      </c>
    </row>
    <row r="5" ht="45.0" customHeight="1">
      <c r="A5" s="6" t="s">
        <v>20</v>
      </c>
      <c r="B5" s="29" t="s">
        <v>499</v>
      </c>
    </row>
    <row r="6" ht="45.0" customHeight="1">
      <c r="A6" s="6" t="s">
        <v>21</v>
      </c>
      <c r="B6" s="29" t="s">
        <v>500</v>
      </c>
    </row>
    <row r="7" ht="45.0" customHeight="1">
      <c r="A7" s="6" t="s">
        <v>27</v>
      </c>
      <c r="B7" s="29" t="s">
        <v>501</v>
      </c>
    </row>
    <row r="8" ht="45.0" customHeight="1">
      <c r="A8" s="6" t="s">
        <v>29</v>
      </c>
      <c r="B8" s="29" t="s">
        <v>502</v>
      </c>
    </row>
    <row r="9" ht="45.0" customHeight="1">
      <c r="A9" s="6" t="s">
        <v>36</v>
      </c>
      <c r="B9" s="29" t="s">
        <v>503</v>
      </c>
    </row>
    <row r="10">
      <c r="A10" s="6"/>
      <c r="B10" s="6"/>
    </row>
    <row r="11">
      <c r="A11" s="6"/>
      <c r="B11" s="6"/>
    </row>
    <row r="12">
      <c r="A12" s="6"/>
      <c r="B12" s="6"/>
    </row>
    <row r="13">
      <c r="A13" s="6"/>
      <c r="B13" s="6"/>
    </row>
    <row r="14">
      <c r="A14" s="6"/>
      <c r="B14" s="6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 ht="15.75" customHeight="1">
      <c r="A21" s="6"/>
      <c r="B21" s="6"/>
    </row>
    <row r="22" ht="15.75" customHeight="1">
      <c r="A22" s="6"/>
      <c r="B22" s="6"/>
    </row>
    <row r="23" ht="15.75" customHeight="1">
      <c r="A23" s="6"/>
      <c r="B23" s="6"/>
    </row>
    <row r="24" ht="15.75" customHeight="1">
      <c r="A24" s="6"/>
      <c r="B24" s="6"/>
    </row>
    <row r="25" ht="15.75" customHeight="1">
      <c r="A25" s="6"/>
      <c r="B25" s="6"/>
    </row>
    <row r="26" ht="15.75" customHeight="1">
      <c r="A26" s="6"/>
      <c r="B26" s="6"/>
    </row>
    <row r="27" ht="15.75" customHeight="1">
      <c r="A27" s="6"/>
      <c r="B27" s="6"/>
    </row>
    <row r="28" ht="15.75" customHeight="1">
      <c r="A28" s="6"/>
      <c r="B28" s="6"/>
    </row>
    <row r="29" ht="15.75" customHeight="1">
      <c r="A29" s="6"/>
      <c r="B29" s="6"/>
    </row>
    <row r="30" ht="15.75" customHeight="1">
      <c r="A30" s="6"/>
      <c r="B30" s="6"/>
    </row>
    <row r="31" ht="15.75" customHeight="1">
      <c r="A31" s="6"/>
      <c r="B31" s="6"/>
    </row>
    <row r="32" ht="15.75" customHeight="1">
      <c r="A32" s="6"/>
      <c r="B32" s="6"/>
    </row>
    <row r="33" ht="15.75" customHeight="1">
      <c r="A33" s="6"/>
      <c r="B33" s="6"/>
    </row>
    <row r="34" ht="15.75" customHeight="1">
      <c r="A34" s="6"/>
      <c r="B34" s="6"/>
    </row>
    <row r="35" ht="15.75" customHeight="1">
      <c r="A35" s="6"/>
      <c r="B35" s="6"/>
    </row>
    <row r="36" ht="15.75" customHeight="1">
      <c r="A36" s="6"/>
      <c r="B36" s="6"/>
    </row>
    <row r="37" ht="15.75" customHeight="1">
      <c r="A37" s="6"/>
      <c r="B37" s="6"/>
    </row>
    <row r="38" ht="15.75" customHeight="1">
      <c r="A38" s="6"/>
      <c r="B38" s="6"/>
    </row>
    <row r="39" ht="15.75" customHeight="1">
      <c r="A39" s="6"/>
      <c r="B39" s="6"/>
    </row>
    <row r="40" ht="15.75" customHeight="1">
      <c r="A40" s="6"/>
      <c r="B40" s="6"/>
    </row>
    <row r="41" ht="15.75" customHeight="1">
      <c r="A41" s="6"/>
      <c r="B41" s="6"/>
    </row>
    <row r="42" ht="15.75" customHeight="1">
      <c r="A42" s="6"/>
      <c r="B42" s="6"/>
    </row>
    <row r="43" ht="15.75" customHeight="1">
      <c r="A43" s="6"/>
      <c r="B43" s="6"/>
    </row>
    <row r="44" ht="15.75" customHeight="1">
      <c r="A44" s="6"/>
      <c r="B44" s="6"/>
    </row>
    <row r="45" ht="15.75" customHeight="1">
      <c r="A45" s="6"/>
      <c r="B45" s="6"/>
    </row>
    <row r="46" ht="15.75" customHeight="1">
      <c r="A46" s="6"/>
      <c r="B46" s="6"/>
    </row>
    <row r="47" ht="15.75" customHeight="1">
      <c r="A47" s="6"/>
      <c r="B47" s="6"/>
    </row>
    <row r="48" ht="15.75" customHeight="1">
      <c r="A48" s="6"/>
      <c r="B48" s="6"/>
    </row>
    <row r="49" ht="15.75" customHeight="1">
      <c r="A49" s="6"/>
      <c r="B49" s="6"/>
    </row>
    <row r="50" ht="15.75" customHeight="1">
      <c r="A50" s="6"/>
      <c r="B50" s="6"/>
    </row>
    <row r="51" ht="15.75" customHeight="1">
      <c r="A51" s="6"/>
      <c r="B51" s="6"/>
    </row>
    <row r="52" ht="15.75" customHeight="1">
      <c r="A52" s="6"/>
      <c r="B52" s="6"/>
    </row>
    <row r="53" ht="15.75" customHeight="1">
      <c r="A53" s="6"/>
      <c r="B53" s="6"/>
    </row>
    <row r="54" ht="15.75" customHeight="1">
      <c r="A54" s="6"/>
      <c r="B54" s="6"/>
    </row>
    <row r="55" ht="15.75" customHeight="1">
      <c r="A55" s="6"/>
      <c r="B55" s="6"/>
    </row>
    <row r="56" ht="15.75" customHeight="1">
      <c r="A56" s="6"/>
      <c r="B56" s="6"/>
    </row>
    <row r="57" ht="15.75" customHeight="1">
      <c r="A57" s="6"/>
      <c r="B57" s="6"/>
    </row>
    <row r="58" ht="15.75" customHeight="1">
      <c r="A58" s="6"/>
      <c r="B58" s="6"/>
    </row>
    <row r="59" ht="15.75" customHeight="1">
      <c r="A59" s="6"/>
      <c r="B59" s="6"/>
    </row>
    <row r="60" ht="15.75" customHeight="1">
      <c r="A60" s="6"/>
      <c r="B60" s="6"/>
    </row>
    <row r="61" ht="15.75" customHeight="1">
      <c r="A61" s="6"/>
      <c r="B61" s="6"/>
    </row>
    <row r="62" ht="15.75" customHeight="1">
      <c r="A62" s="6"/>
      <c r="B62" s="6"/>
    </row>
    <row r="63" ht="15.75" customHeight="1">
      <c r="A63" s="6"/>
      <c r="B63" s="6"/>
    </row>
    <row r="64" ht="15.75" customHeight="1">
      <c r="A64" s="6"/>
      <c r="B64" s="6"/>
    </row>
    <row r="65" ht="15.75" customHeight="1">
      <c r="A65" s="6"/>
      <c r="B65" s="6"/>
    </row>
    <row r="66" ht="15.75" customHeight="1">
      <c r="A66" s="6"/>
      <c r="B66" s="6"/>
    </row>
    <row r="67" ht="15.75" customHeight="1">
      <c r="A67" s="6"/>
      <c r="B67" s="6"/>
    </row>
    <row r="68" ht="15.75" customHeight="1">
      <c r="A68" s="6"/>
      <c r="B68" s="6"/>
    </row>
    <row r="69" ht="15.75" customHeight="1">
      <c r="A69" s="6"/>
      <c r="B69" s="6"/>
    </row>
    <row r="70" ht="15.75" customHeight="1">
      <c r="A70" s="6"/>
      <c r="B70" s="6"/>
    </row>
    <row r="71" ht="15.75" customHeight="1">
      <c r="A71" s="6"/>
      <c r="B71" s="6"/>
    </row>
    <row r="72" ht="15.75" customHeight="1">
      <c r="A72" s="6"/>
      <c r="B72" s="6"/>
    </row>
    <row r="73" ht="15.75" customHeight="1">
      <c r="A73" s="6"/>
      <c r="B73" s="6"/>
    </row>
    <row r="74" ht="15.75" customHeight="1">
      <c r="A74" s="6"/>
      <c r="B74" s="6"/>
    </row>
    <row r="75" ht="15.75" customHeight="1">
      <c r="A75" s="6"/>
      <c r="B75" s="6"/>
    </row>
    <row r="76" ht="15.75" customHeight="1">
      <c r="A76" s="6"/>
      <c r="B76" s="6"/>
    </row>
    <row r="77" ht="15.75" customHeight="1">
      <c r="A77" s="6"/>
      <c r="B77" s="6"/>
    </row>
    <row r="78" ht="15.75" customHeight="1">
      <c r="A78" s="6"/>
      <c r="B78" s="6"/>
    </row>
    <row r="79" ht="15.75" customHeight="1">
      <c r="A79" s="6"/>
      <c r="B79" s="6"/>
    </row>
    <row r="80" ht="15.75" customHeight="1">
      <c r="A80" s="6"/>
      <c r="B80" s="6"/>
    </row>
    <row r="81" ht="15.75" customHeight="1">
      <c r="A81" s="6"/>
      <c r="B81" s="6"/>
    </row>
    <row r="82" ht="15.75" customHeight="1">
      <c r="A82" s="6"/>
      <c r="B82" s="6"/>
    </row>
    <row r="83" ht="15.75" customHeight="1">
      <c r="A83" s="6"/>
      <c r="B83" s="6"/>
    </row>
    <row r="84" ht="15.75" customHeight="1">
      <c r="A84" s="6"/>
      <c r="B84" s="6"/>
    </row>
    <row r="85" ht="15.75" customHeight="1">
      <c r="A85" s="6"/>
      <c r="B85" s="6"/>
    </row>
    <row r="86" ht="15.75" customHeight="1">
      <c r="A86" s="6"/>
      <c r="B86" s="6"/>
    </row>
    <row r="87" ht="15.75" customHeight="1">
      <c r="A87" s="6"/>
      <c r="B87" s="6"/>
    </row>
    <row r="88" ht="15.75" customHeight="1">
      <c r="A88" s="6"/>
      <c r="B88" s="6"/>
    </row>
    <row r="89" ht="15.75" customHeight="1">
      <c r="A89" s="6"/>
      <c r="B89" s="6"/>
    </row>
    <row r="90" ht="15.75" customHeight="1">
      <c r="A90" s="6"/>
      <c r="B90" s="6"/>
    </row>
    <row r="91" ht="15.75" customHeight="1">
      <c r="A91" s="6"/>
      <c r="B91" s="6"/>
    </row>
    <row r="92" ht="15.75" customHeight="1">
      <c r="A92" s="6"/>
      <c r="B92" s="6"/>
    </row>
    <row r="93" ht="15.75" customHeight="1">
      <c r="A93" s="6"/>
      <c r="B93" s="6"/>
    </row>
    <row r="94" ht="15.75" customHeight="1">
      <c r="A94" s="6"/>
      <c r="B94" s="6"/>
    </row>
    <row r="95" ht="15.75" customHeight="1">
      <c r="A95" s="6"/>
      <c r="B95" s="6"/>
    </row>
    <row r="96" ht="15.75" customHeight="1">
      <c r="A96" s="6"/>
      <c r="B96" s="6"/>
    </row>
    <row r="97" ht="15.75" customHeight="1">
      <c r="A97" s="6"/>
      <c r="B97" s="6"/>
    </row>
    <row r="98" ht="15.75" customHeight="1">
      <c r="A98" s="6"/>
      <c r="B98" s="6"/>
    </row>
    <row r="99" ht="15.75" customHeight="1">
      <c r="A99" s="6"/>
      <c r="B99" s="6"/>
    </row>
    <row r="100" ht="15.75" customHeight="1">
      <c r="A100" s="6"/>
      <c r="B100" s="6"/>
    </row>
    <row r="101" ht="15.75" customHeight="1">
      <c r="A101" s="6"/>
      <c r="B101" s="6"/>
    </row>
    <row r="102" ht="15.75" customHeight="1">
      <c r="A102" s="6"/>
      <c r="B102" s="6"/>
    </row>
    <row r="103" ht="15.75" customHeight="1">
      <c r="A103" s="6"/>
      <c r="B103" s="6"/>
    </row>
    <row r="104" ht="15.75" customHeight="1">
      <c r="A104" s="6"/>
      <c r="B104" s="6"/>
    </row>
    <row r="105" ht="15.75" customHeight="1">
      <c r="A105" s="6"/>
      <c r="B105" s="6"/>
    </row>
    <row r="106" ht="15.75" customHeight="1">
      <c r="A106" s="6"/>
      <c r="B106" s="6"/>
    </row>
    <row r="107" ht="15.75" customHeight="1">
      <c r="A107" s="6"/>
      <c r="B107" s="6"/>
    </row>
    <row r="108" ht="15.75" customHeight="1">
      <c r="A108" s="6"/>
      <c r="B108" s="6"/>
    </row>
    <row r="109" ht="15.75" customHeight="1">
      <c r="A109" s="6"/>
      <c r="B109" s="6"/>
    </row>
    <row r="110" ht="15.75" customHeight="1">
      <c r="A110" s="6"/>
      <c r="B110" s="6"/>
    </row>
    <row r="111" ht="15.75" customHeight="1">
      <c r="A111" s="6"/>
      <c r="B111" s="6"/>
    </row>
    <row r="112" ht="15.75" customHeight="1">
      <c r="A112" s="6"/>
      <c r="B112" s="6"/>
    </row>
    <row r="113" ht="15.75" customHeight="1">
      <c r="A113" s="6"/>
      <c r="B113" s="6"/>
    </row>
    <row r="114" ht="15.75" customHeight="1">
      <c r="A114" s="6"/>
      <c r="B114" s="6"/>
    </row>
    <row r="115" ht="15.75" customHeight="1">
      <c r="A115" s="6"/>
      <c r="B115" s="6"/>
    </row>
    <row r="116" ht="15.75" customHeight="1">
      <c r="A116" s="6"/>
      <c r="B116" s="6"/>
    </row>
    <row r="117" ht="15.75" customHeight="1">
      <c r="A117" s="6"/>
      <c r="B117" s="6"/>
    </row>
    <row r="118" ht="15.75" customHeight="1">
      <c r="A118" s="6"/>
      <c r="B118" s="6"/>
    </row>
    <row r="119" ht="15.75" customHeight="1">
      <c r="A119" s="6"/>
      <c r="B119" s="6"/>
    </row>
    <row r="120" ht="15.75" customHeight="1">
      <c r="A120" s="6"/>
      <c r="B120" s="6"/>
    </row>
    <row r="121" ht="15.75" customHeight="1">
      <c r="A121" s="6"/>
      <c r="B121" s="6"/>
    </row>
    <row r="122" ht="15.75" customHeight="1">
      <c r="A122" s="6"/>
      <c r="B122" s="6"/>
    </row>
    <row r="123" ht="15.75" customHeight="1">
      <c r="A123" s="6"/>
      <c r="B123" s="6"/>
    </row>
    <row r="124" ht="15.75" customHeight="1">
      <c r="A124" s="6"/>
      <c r="B124" s="6"/>
    </row>
    <row r="125" ht="15.75" customHeight="1">
      <c r="A125" s="6"/>
      <c r="B125" s="6"/>
    </row>
    <row r="126" ht="15.75" customHeight="1">
      <c r="A126" s="6"/>
      <c r="B126" s="6"/>
    </row>
    <row r="127" ht="15.75" customHeight="1">
      <c r="A127" s="6"/>
      <c r="B127" s="6"/>
    </row>
    <row r="128" ht="15.75" customHeight="1">
      <c r="A128" s="6"/>
      <c r="B128" s="6"/>
    </row>
    <row r="129" ht="15.75" customHeight="1">
      <c r="A129" s="6"/>
      <c r="B129" s="6"/>
    </row>
    <row r="130" ht="15.75" customHeight="1">
      <c r="A130" s="6"/>
      <c r="B130" s="6"/>
    </row>
    <row r="131" ht="15.75" customHeight="1">
      <c r="A131" s="6"/>
      <c r="B131" s="6"/>
    </row>
    <row r="132" ht="15.75" customHeight="1">
      <c r="A132" s="6"/>
      <c r="B132" s="6"/>
    </row>
    <row r="133" ht="15.75" customHeight="1">
      <c r="A133" s="6"/>
      <c r="B133" s="6"/>
    </row>
    <row r="134" ht="15.75" customHeight="1">
      <c r="A134" s="6"/>
      <c r="B134" s="6"/>
    </row>
    <row r="135" ht="15.75" customHeight="1">
      <c r="A135" s="6"/>
      <c r="B135" s="6"/>
    </row>
    <row r="136" ht="15.75" customHeight="1">
      <c r="A136" s="6"/>
      <c r="B136" s="6"/>
    </row>
    <row r="137" ht="15.75" customHeight="1">
      <c r="A137" s="6"/>
      <c r="B137" s="6"/>
    </row>
    <row r="138" ht="15.75" customHeight="1">
      <c r="A138" s="6"/>
      <c r="B138" s="6"/>
    </row>
    <row r="139" ht="15.75" customHeight="1">
      <c r="A139" s="6"/>
      <c r="B139" s="6"/>
    </row>
    <row r="140" ht="15.75" customHeight="1">
      <c r="A140" s="6"/>
      <c r="B140" s="6"/>
    </row>
    <row r="141" ht="15.75" customHeight="1">
      <c r="A141" s="6"/>
      <c r="B141" s="6"/>
    </row>
    <row r="142" ht="15.75" customHeight="1">
      <c r="A142" s="6"/>
      <c r="B142" s="6"/>
    </row>
    <row r="143" ht="15.75" customHeight="1">
      <c r="A143" s="6"/>
      <c r="B143" s="6"/>
    </row>
    <row r="144" ht="15.75" customHeight="1">
      <c r="A144" s="6"/>
      <c r="B144" s="6"/>
    </row>
    <row r="145" ht="15.75" customHeight="1">
      <c r="A145" s="6"/>
      <c r="B145" s="6"/>
    </row>
    <row r="146" ht="15.75" customHeight="1">
      <c r="A146" s="6"/>
      <c r="B146" s="6"/>
    </row>
    <row r="147" ht="15.75" customHeight="1">
      <c r="A147" s="6"/>
      <c r="B147" s="6"/>
    </row>
    <row r="148" ht="15.75" customHeight="1">
      <c r="A148" s="6"/>
      <c r="B148" s="6"/>
    </row>
    <row r="149" ht="15.75" customHeight="1">
      <c r="A149" s="6"/>
      <c r="B149" s="6"/>
    </row>
    <row r="150" ht="15.75" customHeight="1">
      <c r="A150" s="6"/>
      <c r="B150" s="6"/>
    </row>
    <row r="151" ht="15.75" customHeight="1">
      <c r="A151" s="6"/>
      <c r="B151" s="6"/>
    </row>
    <row r="152" ht="15.75" customHeight="1">
      <c r="A152" s="6"/>
      <c r="B152" s="6"/>
    </row>
    <row r="153" ht="15.75" customHeight="1">
      <c r="A153" s="6"/>
      <c r="B153" s="6"/>
    </row>
    <row r="154" ht="15.75" customHeight="1">
      <c r="A154" s="6"/>
      <c r="B154" s="6"/>
    </row>
    <row r="155" ht="15.75" customHeight="1">
      <c r="A155" s="6"/>
      <c r="B155" s="6"/>
    </row>
    <row r="156" ht="15.75" customHeight="1">
      <c r="A156" s="6"/>
      <c r="B156" s="6"/>
    </row>
    <row r="157" ht="15.75" customHeight="1">
      <c r="A157" s="6"/>
      <c r="B157" s="6"/>
    </row>
    <row r="158" ht="15.75" customHeight="1">
      <c r="A158" s="6"/>
      <c r="B158" s="6"/>
    </row>
    <row r="159" ht="15.75" customHeight="1">
      <c r="A159" s="6"/>
      <c r="B159" s="6"/>
    </row>
    <row r="160" ht="15.75" customHeight="1">
      <c r="A160" s="6"/>
      <c r="B160" s="6"/>
    </row>
    <row r="161" ht="15.75" customHeight="1">
      <c r="A161" s="6"/>
      <c r="B161" s="6"/>
    </row>
    <row r="162" ht="15.75" customHeight="1">
      <c r="A162" s="6"/>
      <c r="B162" s="6"/>
    </row>
    <row r="163" ht="15.75" customHeight="1">
      <c r="A163" s="6"/>
      <c r="B163" s="6"/>
    </row>
    <row r="164" ht="15.75" customHeight="1">
      <c r="A164" s="6"/>
      <c r="B164" s="6"/>
    </row>
    <row r="165" ht="15.75" customHeight="1">
      <c r="A165" s="6"/>
      <c r="B165" s="6"/>
    </row>
    <row r="166" ht="15.75" customHeight="1">
      <c r="A166" s="6"/>
      <c r="B166" s="6"/>
    </row>
    <row r="167" ht="15.75" customHeight="1">
      <c r="A167" s="6"/>
      <c r="B167" s="6"/>
    </row>
    <row r="168" ht="15.75" customHeight="1">
      <c r="A168" s="6"/>
      <c r="B168" s="6"/>
    </row>
    <row r="169" ht="15.75" customHeight="1">
      <c r="A169" s="6"/>
      <c r="B169" s="6"/>
    </row>
    <row r="170" ht="15.75" customHeight="1">
      <c r="A170" s="6"/>
      <c r="B170" s="6"/>
    </row>
    <row r="171" ht="15.75" customHeight="1">
      <c r="A171" s="6"/>
      <c r="B171" s="6"/>
    </row>
    <row r="172" ht="15.75" customHeight="1">
      <c r="A172" s="6"/>
      <c r="B172" s="6"/>
    </row>
    <row r="173" ht="15.75" customHeight="1">
      <c r="A173" s="6"/>
      <c r="B173" s="6"/>
    </row>
    <row r="174" ht="15.75" customHeight="1">
      <c r="A174" s="6"/>
      <c r="B174" s="6"/>
    </row>
    <row r="175" ht="15.75" customHeight="1">
      <c r="A175" s="6"/>
      <c r="B175" s="6"/>
    </row>
    <row r="176" ht="15.75" customHeight="1">
      <c r="A176" s="6"/>
      <c r="B176" s="6"/>
    </row>
    <row r="177" ht="15.75" customHeight="1">
      <c r="A177" s="6"/>
      <c r="B177" s="6"/>
    </row>
    <row r="178" ht="15.75" customHeight="1">
      <c r="A178" s="6"/>
      <c r="B178" s="6"/>
    </row>
    <row r="179" ht="15.75" customHeight="1">
      <c r="A179" s="6"/>
      <c r="B179" s="6"/>
    </row>
    <row r="180" ht="15.75" customHeight="1">
      <c r="A180" s="6"/>
      <c r="B180" s="6"/>
    </row>
    <row r="181" ht="15.75" customHeight="1">
      <c r="A181" s="6"/>
      <c r="B181" s="6"/>
    </row>
    <row r="182" ht="15.75" customHeight="1">
      <c r="A182" s="6"/>
      <c r="B182" s="6"/>
    </row>
    <row r="183" ht="15.75" customHeight="1">
      <c r="A183" s="6"/>
      <c r="B183" s="6"/>
    </row>
    <row r="184" ht="15.75" customHeight="1">
      <c r="A184" s="6"/>
      <c r="B184" s="6"/>
    </row>
    <row r="185" ht="15.75" customHeight="1">
      <c r="A185" s="6"/>
      <c r="B185" s="6"/>
    </row>
    <row r="186" ht="15.75" customHeight="1">
      <c r="A186" s="6"/>
      <c r="B186" s="6"/>
    </row>
    <row r="187" ht="15.75" customHeight="1">
      <c r="A187" s="6"/>
      <c r="B187" s="6"/>
    </row>
    <row r="188" ht="15.75" customHeight="1">
      <c r="A188" s="6"/>
      <c r="B188" s="6"/>
    </row>
    <row r="189" ht="15.75" customHeight="1">
      <c r="A189" s="6"/>
      <c r="B189" s="6"/>
    </row>
    <row r="190" ht="15.75" customHeight="1">
      <c r="A190" s="6"/>
      <c r="B190" s="6"/>
    </row>
    <row r="191" ht="15.75" customHeight="1">
      <c r="A191" s="6"/>
      <c r="B191" s="6"/>
    </row>
    <row r="192" ht="15.75" customHeight="1">
      <c r="A192" s="6"/>
      <c r="B192" s="6"/>
    </row>
    <row r="193" ht="15.75" customHeight="1">
      <c r="A193" s="6"/>
      <c r="B193" s="6"/>
    </row>
    <row r="194" ht="15.75" customHeight="1">
      <c r="A194" s="6"/>
      <c r="B194" s="6"/>
    </row>
    <row r="195" ht="15.75" customHeight="1">
      <c r="A195" s="6"/>
      <c r="B195" s="6"/>
    </row>
    <row r="196" ht="15.75" customHeight="1">
      <c r="A196" s="6"/>
      <c r="B196" s="6"/>
    </row>
    <row r="197" ht="15.75" customHeight="1">
      <c r="A197" s="6"/>
      <c r="B197" s="6"/>
    </row>
    <row r="198" ht="15.75" customHeight="1">
      <c r="A198" s="6"/>
      <c r="B198" s="6"/>
    </row>
    <row r="199" ht="15.75" customHeight="1">
      <c r="A199" s="6"/>
      <c r="B199" s="6"/>
    </row>
    <row r="200" ht="15.75" customHeight="1">
      <c r="A200" s="6"/>
      <c r="B200" s="6"/>
    </row>
    <row r="201" ht="15.75" customHeight="1">
      <c r="A201" s="6"/>
      <c r="B201" s="6"/>
    </row>
    <row r="202" ht="15.75" customHeight="1">
      <c r="A202" s="6"/>
      <c r="B202" s="6"/>
    </row>
    <row r="203" ht="15.75" customHeight="1">
      <c r="A203" s="6"/>
      <c r="B203" s="6"/>
    </row>
    <row r="204" ht="15.75" customHeight="1">
      <c r="A204" s="6"/>
      <c r="B204" s="6"/>
    </row>
    <row r="205" ht="15.75" customHeight="1">
      <c r="A205" s="6"/>
      <c r="B205" s="6"/>
    </row>
    <row r="206" ht="15.75" customHeight="1">
      <c r="A206" s="6"/>
      <c r="B206" s="6"/>
    </row>
    <row r="207" ht="15.75" customHeight="1">
      <c r="A207" s="6"/>
      <c r="B207" s="6"/>
    </row>
    <row r="208" ht="15.75" customHeight="1">
      <c r="A208" s="6"/>
      <c r="B208" s="6"/>
    </row>
    <row r="209" ht="15.75" customHeight="1">
      <c r="A209" s="6"/>
      <c r="B209" s="6"/>
    </row>
    <row r="210" ht="15.75" customHeight="1">
      <c r="A210" s="6"/>
      <c r="B210" s="6"/>
    </row>
    <row r="211" ht="15.75" customHeight="1">
      <c r="A211" s="6"/>
      <c r="B211" s="6"/>
    </row>
    <row r="212" ht="15.75" customHeight="1">
      <c r="A212" s="6"/>
      <c r="B212" s="6"/>
    </row>
    <row r="213" ht="15.75" customHeight="1">
      <c r="A213" s="6"/>
      <c r="B213" s="6"/>
    </row>
    <row r="214" ht="15.75" customHeight="1">
      <c r="A214" s="6"/>
      <c r="B214" s="6"/>
    </row>
    <row r="215" ht="15.75" customHeight="1">
      <c r="A215" s="6"/>
      <c r="B215" s="6"/>
    </row>
    <row r="216" ht="15.75" customHeight="1">
      <c r="A216" s="6"/>
      <c r="B216" s="6"/>
    </row>
    <row r="217" ht="15.75" customHeight="1">
      <c r="A217" s="6"/>
      <c r="B217" s="6"/>
    </row>
    <row r="218" ht="15.75" customHeight="1">
      <c r="A218" s="6"/>
      <c r="B218" s="6"/>
    </row>
    <row r="219" ht="15.75" customHeight="1">
      <c r="A219" s="6"/>
      <c r="B219" s="6"/>
    </row>
    <row r="220" ht="15.75" customHeight="1">
      <c r="A220" s="6"/>
      <c r="B220" s="6"/>
    </row>
    <row r="221" ht="15.75" customHeight="1">
      <c r="A221" s="6"/>
      <c r="B221" s="6"/>
    </row>
    <row r="222" ht="15.75" customHeight="1">
      <c r="A222" s="6"/>
      <c r="B222" s="6"/>
    </row>
    <row r="223" ht="15.75" customHeight="1">
      <c r="A223" s="6"/>
      <c r="B223" s="6"/>
    </row>
    <row r="224" ht="15.75" customHeight="1">
      <c r="A224" s="6"/>
      <c r="B224" s="6"/>
    </row>
    <row r="225" ht="15.75" customHeight="1">
      <c r="A225" s="6"/>
      <c r="B225" s="6"/>
    </row>
    <row r="226" ht="15.75" customHeight="1">
      <c r="A226" s="6"/>
      <c r="B226" s="6"/>
    </row>
    <row r="227" ht="15.75" customHeight="1">
      <c r="A227" s="6"/>
      <c r="B227" s="6"/>
    </row>
    <row r="228" ht="15.75" customHeight="1">
      <c r="A228" s="6"/>
      <c r="B228" s="6"/>
    </row>
    <row r="229" ht="15.75" customHeight="1">
      <c r="A229" s="6"/>
      <c r="B229" s="6"/>
    </row>
    <row r="230" ht="15.75" customHeight="1">
      <c r="A230" s="6"/>
      <c r="B230" s="6"/>
    </row>
    <row r="231" ht="15.75" customHeight="1">
      <c r="A231" s="6"/>
      <c r="B231" s="6"/>
    </row>
    <row r="232" ht="15.75" customHeight="1">
      <c r="A232" s="6"/>
      <c r="B232" s="6"/>
    </row>
    <row r="233" ht="15.75" customHeight="1">
      <c r="A233" s="6"/>
      <c r="B233" s="6"/>
    </row>
    <row r="234" ht="15.75" customHeight="1">
      <c r="A234" s="6"/>
      <c r="B234" s="6"/>
    </row>
    <row r="235" ht="15.75" customHeight="1">
      <c r="A235" s="6"/>
      <c r="B235" s="6"/>
    </row>
    <row r="236" ht="15.75" customHeight="1">
      <c r="A236" s="6"/>
      <c r="B236" s="6"/>
    </row>
    <row r="237" ht="15.75" customHeight="1">
      <c r="A237" s="6"/>
      <c r="B237" s="6"/>
    </row>
    <row r="238" ht="15.75" customHeight="1">
      <c r="A238" s="6"/>
      <c r="B238" s="6"/>
    </row>
    <row r="239" ht="15.75" customHeight="1">
      <c r="A239" s="6"/>
      <c r="B239" s="6"/>
    </row>
    <row r="240" ht="15.75" customHeight="1">
      <c r="A240" s="6"/>
      <c r="B240" s="6"/>
    </row>
    <row r="241" ht="15.75" customHeight="1">
      <c r="A241" s="6"/>
      <c r="B241" s="6"/>
    </row>
    <row r="242" ht="15.75" customHeight="1">
      <c r="A242" s="6"/>
      <c r="B242" s="6"/>
    </row>
    <row r="243" ht="15.75" customHeight="1">
      <c r="A243" s="6"/>
      <c r="B243" s="6"/>
    </row>
    <row r="244" ht="15.75" customHeight="1">
      <c r="A244" s="6"/>
      <c r="B244" s="6"/>
    </row>
    <row r="245" ht="15.75" customHeight="1">
      <c r="A245" s="6"/>
      <c r="B245" s="6"/>
    </row>
    <row r="246" ht="15.75" customHeight="1">
      <c r="A246" s="6"/>
      <c r="B246" s="6"/>
    </row>
    <row r="247" ht="15.75" customHeight="1">
      <c r="A247" s="6"/>
      <c r="B247" s="6"/>
    </row>
    <row r="248" ht="15.75" customHeight="1">
      <c r="A248" s="6"/>
      <c r="B248" s="6"/>
    </row>
    <row r="249" ht="15.75" customHeight="1">
      <c r="A249" s="6"/>
      <c r="B249" s="6"/>
    </row>
    <row r="250" ht="15.75" customHeight="1">
      <c r="A250" s="6"/>
      <c r="B250" s="6"/>
    </row>
    <row r="251" ht="15.75" customHeight="1">
      <c r="A251" s="6"/>
      <c r="B251" s="6"/>
    </row>
    <row r="252" ht="15.75" customHeight="1">
      <c r="A252" s="6"/>
      <c r="B252" s="6"/>
    </row>
    <row r="253" ht="15.75" customHeight="1">
      <c r="A253" s="6"/>
      <c r="B253" s="6"/>
    </row>
    <row r="254" ht="15.75" customHeight="1">
      <c r="A254" s="6"/>
      <c r="B254" s="6"/>
    </row>
    <row r="255" ht="15.75" customHeight="1">
      <c r="A255" s="6"/>
      <c r="B255" s="6"/>
    </row>
    <row r="256" ht="15.75" customHeight="1">
      <c r="A256" s="6"/>
      <c r="B256" s="6"/>
    </row>
    <row r="257" ht="15.75" customHeight="1">
      <c r="A257" s="6"/>
      <c r="B257" s="6"/>
    </row>
    <row r="258" ht="15.75" customHeight="1">
      <c r="A258" s="6"/>
      <c r="B258" s="6"/>
    </row>
    <row r="259" ht="15.75" customHeight="1">
      <c r="A259" s="6"/>
      <c r="B259" s="6"/>
    </row>
    <row r="260" ht="15.75" customHeight="1">
      <c r="A260" s="6"/>
      <c r="B260" s="6"/>
    </row>
    <row r="261" ht="15.75" customHeight="1">
      <c r="A261" s="6"/>
      <c r="B261" s="6"/>
    </row>
    <row r="262" ht="15.75" customHeight="1">
      <c r="A262" s="6"/>
      <c r="B262" s="6"/>
    </row>
    <row r="263" ht="15.75" customHeight="1">
      <c r="A263" s="6"/>
      <c r="B263" s="6"/>
    </row>
    <row r="264" ht="15.75" customHeight="1">
      <c r="A264" s="6"/>
      <c r="B264" s="6"/>
    </row>
    <row r="265" ht="15.75" customHeight="1">
      <c r="A265" s="6"/>
      <c r="B265" s="6"/>
    </row>
    <row r="266" ht="15.75" customHeight="1">
      <c r="A266" s="6"/>
      <c r="B266" s="6"/>
    </row>
    <row r="267" ht="15.75" customHeight="1">
      <c r="A267" s="6"/>
      <c r="B267" s="6"/>
    </row>
    <row r="268" ht="15.75" customHeight="1">
      <c r="A268" s="6"/>
      <c r="B268" s="6"/>
    </row>
    <row r="269" ht="15.75" customHeight="1">
      <c r="A269" s="6"/>
      <c r="B269" s="6"/>
    </row>
    <row r="270" ht="15.75" customHeight="1">
      <c r="A270" s="6"/>
      <c r="B270" s="6"/>
    </row>
    <row r="271" ht="15.75" customHeight="1">
      <c r="A271" s="6"/>
      <c r="B271" s="6"/>
    </row>
    <row r="272" ht="15.75" customHeight="1">
      <c r="A272" s="6"/>
      <c r="B272" s="6"/>
    </row>
    <row r="273" ht="15.75" customHeight="1">
      <c r="A273" s="6"/>
      <c r="B273" s="6"/>
    </row>
    <row r="274" ht="15.75" customHeight="1">
      <c r="A274" s="6"/>
      <c r="B274" s="6"/>
    </row>
    <row r="275" ht="15.75" customHeight="1">
      <c r="A275" s="6"/>
      <c r="B275" s="6"/>
    </row>
    <row r="276" ht="15.75" customHeight="1">
      <c r="A276" s="6"/>
      <c r="B276" s="6"/>
    </row>
    <row r="277" ht="15.75" customHeight="1">
      <c r="A277" s="6"/>
      <c r="B277" s="6"/>
    </row>
    <row r="278" ht="15.75" customHeight="1">
      <c r="A278" s="6"/>
      <c r="B278" s="6"/>
    </row>
    <row r="279" ht="15.75" customHeight="1">
      <c r="A279" s="6"/>
      <c r="B279" s="6"/>
    </row>
    <row r="280" ht="15.75" customHeight="1">
      <c r="A280" s="6"/>
      <c r="B280" s="6"/>
    </row>
    <row r="281" ht="15.75" customHeight="1">
      <c r="A281" s="6"/>
      <c r="B281" s="6"/>
    </row>
    <row r="282" ht="15.75" customHeight="1">
      <c r="A282" s="6"/>
      <c r="B282" s="6"/>
    </row>
    <row r="283" ht="15.75" customHeight="1">
      <c r="A283" s="6"/>
      <c r="B283" s="6"/>
    </row>
    <row r="284" ht="15.75" customHeight="1">
      <c r="A284" s="6"/>
      <c r="B284" s="6"/>
    </row>
    <row r="285" ht="15.75" customHeight="1">
      <c r="A285" s="6"/>
      <c r="B285" s="6"/>
    </row>
    <row r="286" ht="15.75" customHeight="1">
      <c r="A286" s="6"/>
      <c r="B286" s="6"/>
    </row>
    <row r="287" ht="15.75" customHeight="1">
      <c r="A287" s="6"/>
      <c r="B287" s="6"/>
    </row>
    <row r="288" ht="15.75" customHeight="1">
      <c r="A288" s="6"/>
      <c r="B288" s="6"/>
    </row>
    <row r="289" ht="15.75" customHeight="1">
      <c r="A289" s="6"/>
      <c r="B289" s="6"/>
    </row>
    <row r="290" ht="15.75" customHeight="1">
      <c r="A290" s="6"/>
      <c r="B290" s="6"/>
    </row>
    <row r="291" ht="15.75" customHeight="1">
      <c r="A291" s="6"/>
      <c r="B291" s="6"/>
    </row>
    <row r="292" ht="15.75" customHeight="1">
      <c r="A292" s="6"/>
      <c r="B292" s="6"/>
    </row>
    <row r="293" ht="15.75" customHeight="1">
      <c r="A293" s="6"/>
      <c r="B293" s="6"/>
    </row>
    <row r="294" ht="15.75" customHeight="1">
      <c r="A294" s="6"/>
      <c r="B294" s="6"/>
    </row>
    <row r="295" ht="15.75" customHeight="1">
      <c r="A295" s="6"/>
      <c r="B295" s="6"/>
    </row>
    <row r="296" ht="15.75" customHeight="1">
      <c r="A296" s="6"/>
      <c r="B296" s="6"/>
    </row>
    <row r="297" ht="15.75" customHeight="1">
      <c r="A297" s="6"/>
      <c r="B297" s="6"/>
    </row>
    <row r="298" ht="15.75" customHeight="1">
      <c r="A298" s="6"/>
      <c r="B298" s="6"/>
    </row>
    <row r="299" ht="15.75" customHeight="1">
      <c r="A299" s="6"/>
      <c r="B299" s="6"/>
    </row>
    <row r="300" ht="15.75" customHeight="1">
      <c r="A300" s="6"/>
      <c r="B300" s="6"/>
    </row>
    <row r="301" ht="15.75" customHeight="1">
      <c r="A301" s="6"/>
      <c r="B301" s="6"/>
    </row>
    <row r="302" ht="15.75" customHeight="1">
      <c r="A302" s="6"/>
      <c r="B302" s="6"/>
    </row>
    <row r="303" ht="15.75" customHeight="1">
      <c r="A303" s="6"/>
      <c r="B303" s="6"/>
    </row>
    <row r="304" ht="15.75" customHeight="1">
      <c r="A304" s="6"/>
      <c r="B304" s="6"/>
    </row>
    <row r="305" ht="15.75" customHeight="1">
      <c r="A305" s="6"/>
      <c r="B305" s="6"/>
    </row>
    <row r="306" ht="15.75" customHeight="1">
      <c r="A306" s="6"/>
      <c r="B306" s="6"/>
    </row>
    <row r="307" ht="15.75" customHeight="1">
      <c r="A307" s="6"/>
      <c r="B307" s="6"/>
    </row>
    <row r="308" ht="15.75" customHeight="1">
      <c r="A308" s="6"/>
      <c r="B308" s="6"/>
    </row>
    <row r="309" ht="15.75" customHeight="1">
      <c r="A309" s="6"/>
      <c r="B309" s="6"/>
    </row>
    <row r="310" ht="15.75" customHeight="1">
      <c r="A310" s="6"/>
      <c r="B310" s="6"/>
    </row>
    <row r="311" ht="15.75" customHeight="1">
      <c r="A311" s="6"/>
      <c r="B311" s="6"/>
    </row>
    <row r="312" ht="15.75" customHeight="1">
      <c r="A312" s="6"/>
      <c r="B312" s="6"/>
    </row>
    <row r="313" ht="15.75" customHeight="1">
      <c r="A313" s="6"/>
      <c r="B313" s="6"/>
    </row>
    <row r="314" ht="15.75" customHeight="1">
      <c r="A314" s="6"/>
      <c r="B314" s="6"/>
    </row>
    <row r="315" ht="15.75" customHeight="1">
      <c r="A315" s="6"/>
      <c r="B315" s="6"/>
    </row>
    <row r="316" ht="15.75" customHeight="1">
      <c r="A316" s="6"/>
      <c r="B316" s="6"/>
    </row>
    <row r="317" ht="15.75" customHeight="1">
      <c r="A317" s="6"/>
      <c r="B317" s="6"/>
    </row>
    <row r="318" ht="15.75" customHeight="1">
      <c r="A318" s="6"/>
      <c r="B318" s="6"/>
    </row>
    <row r="319" ht="15.75" customHeight="1">
      <c r="A319" s="6"/>
      <c r="B319" s="6"/>
    </row>
    <row r="320" ht="15.75" customHeight="1">
      <c r="A320" s="6"/>
      <c r="B320" s="6"/>
    </row>
    <row r="321" ht="15.75" customHeight="1">
      <c r="A321" s="6"/>
      <c r="B321" s="6"/>
    </row>
    <row r="322" ht="15.75" customHeight="1">
      <c r="A322" s="6"/>
      <c r="B322" s="6"/>
    </row>
    <row r="323" ht="15.75" customHeight="1">
      <c r="A323" s="6"/>
      <c r="B323" s="6"/>
    </row>
    <row r="324" ht="15.75" customHeight="1">
      <c r="A324" s="6"/>
      <c r="B324" s="6"/>
    </row>
    <row r="325" ht="15.75" customHeight="1">
      <c r="A325" s="6"/>
      <c r="B325" s="6"/>
    </row>
    <row r="326" ht="15.75" customHeight="1">
      <c r="A326" s="6"/>
      <c r="B326" s="6"/>
    </row>
    <row r="327" ht="15.75" customHeight="1">
      <c r="A327" s="6"/>
      <c r="B327" s="6"/>
    </row>
    <row r="328" ht="15.75" customHeight="1">
      <c r="A328" s="6"/>
      <c r="B328" s="6"/>
    </row>
    <row r="329" ht="15.75" customHeight="1">
      <c r="A329" s="6"/>
      <c r="B329" s="6"/>
    </row>
    <row r="330" ht="15.75" customHeight="1">
      <c r="A330" s="6"/>
      <c r="B330" s="6"/>
    </row>
    <row r="331" ht="15.75" customHeight="1">
      <c r="A331" s="6"/>
      <c r="B331" s="6"/>
    </row>
    <row r="332" ht="15.75" customHeight="1">
      <c r="A332" s="6"/>
      <c r="B332" s="6"/>
    </row>
    <row r="333" ht="15.75" customHeight="1">
      <c r="A333" s="6"/>
      <c r="B333" s="6"/>
    </row>
    <row r="334" ht="15.75" customHeight="1">
      <c r="A334" s="6"/>
      <c r="B334" s="6"/>
    </row>
    <row r="335" ht="15.75" customHeight="1">
      <c r="A335" s="6"/>
      <c r="B335" s="6"/>
    </row>
    <row r="336" ht="15.75" customHeight="1">
      <c r="A336" s="6"/>
      <c r="B336" s="6"/>
    </row>
    <row r="337" ht="15.75" customHeight="1">
      <c r="A337" s="6"/>
      <c r="B337" s="6"/>
    </row>
    <row r="338" ht="15.75" customHeight="1">
      <c r="A338" s="6"/>
      <c r="B338" s="6"/>
    </row>
    <row r="339" ht="15.75" customHeight="1">
      <c r="A339" s="6"/>
      <c r="B339" s="6"/>
    </row>
    <row r="340" ht="15.75" customHeight="1">
      <c r="A340" s="6"/>
      <c r="B340" s="6"/>
    </row>
    <row r="341" ht="15.75" customHeight="1">
      <c r="A341" s="6"/>
      <c r="B341" s="6"/>
    </row>
    <row r="342" ht="15.75" customHeight="1">
      <c r="A342" s="6"/>
      <c r="B342" s="6"/>
    </row>
    <row r="343" ht="15.75" customHeight="1">
      <c r="A343" s="6"/>
      <c r="B343" s="6"/>
    </row>
    <row r="344" ht="15.75" customHeight="1">
      <c r="A344" s="6"/>
      <c r="B344" s="6"/>
    </row>
    <row r="345" ht="15.75" customHeight="1">
      <c r="A345" s="6"/>
      <c r="B345" s="6"/>
    </row>
    <row r="346" ht="15.75" customHeight="1">
      <c r="A346" s="6"/>
      <c r="B346" s="6"/>
    </row>
    <row r="347" ht="15.75" customHeight="1">
      <c r="A347" s="6"/>
      <c r="B347" s="6"/>
    </row>
    <row r="348" ht="15.75" customHeight="1">
      <c r="A348" s="6"/>
      <c r="B348" s="6"/>
    </row>
    <row r="349" ht="15.75" customHeight="1">
      <c r="A349" s="6"/>
      <c r="B349" s="6"/>
    </row>
    <row r="350" ht="15.75" customHeight="1">
      <c r="A350" s="6"/>
      <c r="B350" s="6"/>
    </row>
    <row r="351" ht="15.75" customHeight="1">
      <c r="A351" s="6"/>
      <c r="B351" s="6"/>
    </row>
    <row r="352" ht="15.75" customHeight="1">
      <c r="A352" s="6"/>
      <c r="B352" s="6"/>
    </row>
    <row r="353" ht="15.75" customHeight="1">
      <c r="A353" s="6"/>
      <c r="B353" s="6"/>
    </row>
    <row r="354" ht="15.75" customHeight="1">
      <c r="A354" s="6"/>
      <c r="B354" s="6"/>
    </row>
    <row r="355" ht="15.75" customHeight="1">
      <c r="A355" s="6"/>
      <c r="B355" s="6"/>
    </row>
    <row r="356" ht="15.75" customHeight="1">
      <c r="A356" s="6"/>
      <c r="B356" s="6"/>
    </row>
    <row r="357" ht="15.75" customHeight="1">
      <c r="A357" s="6"/>
      <c r="B357" s="6"/>
    </row>
    <row r="358" ht="15.75" customHeight="1">
      <c r="A358" s="6"/>
      <c r="B358" s="6"/>
    </row>
    <row r="359" ht="15.75" customHeight="1">
      <c r="A359" s="6"/>
      <c r="B359" s="6"/>
    </row>
    <row r="360" ht="15.75" customHeight="1">
      <c r="A360" s="6"/>
      <c r="B360" s="6"/>
    </row>
    <row r="361" ht="15.75" customHeight="1">
      <c r="A361" s="6"/>
      <c r="B361" s="6"/>
    </row>
    <row r="362" ht="15.75" customHeight="1">
      <c r="A362" s="6"/>
      <c r="B362" s="6"/>
    </row>
    <row r="363" ht="15.75" customHeight="1">
      <c r="A363" s="6"/>
      <c r="B363" s="6"/>
    </row>
    <row r="364" ht="15.75" customHeight="1">
      <c r="A364" s="6"/>
      <c r="B364" s="6"/>
    </row>
    <row r="365" ht="15.75" customHeight="1">
      <c r="A365" s="6"/>
      <c r="B365" s="6"/>
    </row>
    <row r="366" ht="15.75" customHeight="1">
      <c r="A366" s="6"/>
      <c r="B366" s="6"/>
    </row>
    <row r="367" ht="15.75" customHeight="1">
      <c r="A367" s="6"/>
      <c r="B367" s="6"/>
    </row>
    <row r="368" ht="15.75" customHeight="1">
      <c r="A368" s="6"/>
      <c r="B368" s="6"/>
    </row>
    <row r="369" ht="15.75" customHeight="1">
      <c r="A369" s="6"/>
      <c r="B369" s="6"/>
    </row>
    <row r="370" ht="15.75" customHeight="1">
      <c r="A370" s="6"/>
      <c r="B370" s="6"/>
    </row>
    <row r="371" ht="15.75" customHeight="1">
      <c r="A371" s="6"/>
      <c r="B371" s="6"/>
    </row>
    <row r="372" ht="15.75" customHeight="1">
      <c r="A372" s="6"/>
      <c r="B372" s="6"/>
    </row>
    <row r="373" ht="15.75" customHeight="1">
      <c r="A373" s="6"/>
      <c r="B373" s="6"/>
    </row>
    <row r="374" ht="15.75" customHeight="1">
      <c r="A374" s="6"/>
      <c r="B374" s="6"/>
    </row>
    <row r="375" ht="15.75" customHeight="1">
      <c r="A375" s="6"/>
      <c r="B375" s="6"/>
    </row>
    <row r="376" ht="15.75" customHeight="1">
      <c r="A376" s="6"/>
      <c r="B376" s="6"/>
    </row>
    <row r="377" ht="15.75" customHeight="1">
      <c r="A377" s="6"/>
      <c r="B377" s="6"/>
    </row>
    <row r="378" ht="15.75" customHeight="1">
      <c r="A378" s="6"/>
      <c r="B378" s="6"/>
    </row>
    <row r="379" ht="15.75" customHeight="1">
      <c r="A379" s="6"/>
      <c r="B379" s="6"/>
    </row>
    <row r="380" ht="15.75" customHeight="1">
      <c r="A380" s="6"/>
      <c r="B380" s="6"/>
    </row>
    <row r="381" ht="15.75" customHeight="1">
      <c r="A381" s="6"/>
      <c r="B381" s="6"/>
    </row>
    <row r="382" ht="15.75" customHeight="1">
      <c r="A382" s="6"/>
      <c r="B382" s="6"/>
    </row>
    <row r="383" ht="15.75" customHeight="1">
      <c r="A383" s="6"/>
      <c r="B383" s="6"/>
    </row>
    <row r="384" ht="15.75" customHeight="1">
      <c r="A384" s="6"/>
      <c r="B384" s="6"/>
    </row>
    <row r="385" ht="15.75" customHeight="1">
      <c r="A385" s="6"/>
      <c r="B385" s="6"/>
    </row>
    <row r="386" ht="15.75" customHeight="1">
      <c r="A386" s="6"/>
      <c r="B386" s="6"/>
    </row>
    <row r="387" ht="15.75" customHeight="1">
      <c r="A387" s="6"/>
      <c r="B387" s="6"/>
    </row>
    <row r="388" ht="15.75" customHeight="1">
      <c r="A388" s="6"/>
      <c r="B388" s="6"/>
    </row>
    <row r="389" ht="15.75" customHeight="1">
      <c r="A389" s="6"/>
      <c r="B389" s="6"/>
    </row>
    <row r="390" ht="15.75" customHeight="1">
      <c r="A390" s="6"/>
      <c r="B390" s="6"/>
    </row>
    <row r="391" ht="15.75" customHeight="1">
      <c r="A391" s="6"/>
      <c r="B391" s="6"/>
    </row>
    <row r="392" ht="15.75" customHeight="1">
      <c r="A392" s="6"/>
      <c r="B392" s="6"/>
    </row>
    <row r="393" ht="15.75" customHeight="1">
      <c r="A393" s="6"/>
      <c r="B393" s="6"/>
    </row>
    <row r="394" ht="15.75" customHeight="1">
      <c r="A394" s="6"/>
      <c r="B394" s="6"/>
    </row>
    <row r="395" ht="15.75" customHeight="1">
      <c r="A395" s="6"/>
      <c r="B395" s="6"/>
    </row>
    <row r="396" ht="15.75" customHeight="1">
      <c r="A396" s="6"/>
      <c r="B396" s="6"/>
    </row>
    <row r="397" ht="15.75" customHeight="1">
      <c r="A397" s="6"/>
      <c r="B397" s="6"/>
    </row>
    <row r="398" ht="15.75" customHeight="1">
      <c r="A398" s="6"/>
      <c r="B398" s="6"/>
    </row>
    <row r="399" ht="15.75" customHeight="1">
      <c r="A399" s="6"/>
      <c r="B399" s="6"/>
    </row>
    <row r="400" ht="15.75" customHeight="1">
      <c r="A400" s="6"/>
      <c r="B400" s="6"/>
    </row>
    <row r="401" ht="15.75" customHeight="1">
      <c r="A401" s="6"/>
      <c r="B401" s="6"/>
    </row>
    <row r="402" ht="15.75" customHeight="1">
      <c r="A402" s="6"/>
      <c r="B402" s="6"/>
    </row>
    <row r="403" ht="15.75" customHeight="1">
      <c r="A403" s="6"/>
      <c r="B403" s="6"/>
    </row>
    <row r="404" ht="15.75" customHeight="1">
      <c r="A404" s="6"/>
      <c r="B404" s="6"/>
    </row>
    <row r="405" ht="15.75" customHeight="1">
      <c r="A405" s="6"/>
      <c r="B405" s="6"/>
    </row>
    <row r="406" ht="15.75" customHeight="1">
      <c r="A406" s="6"/>
      <c r="B406" s="6"/>
    </row>
    <row r="407" ht="15.75" customHeight="1">
      <c r="A407" s="6"/>
      <c r="B407" s="6"/>
    </row>
    <row r="408" ht="15.75" customHeight="1">
      <c r="A408" s="6"/>
      <c r="B408" s="6"/>
    </row>
    <row r="409" ht="15.75" customHeight="1">
      <c r="A409" s="6"/>
      <c r="B409" s="6"/>
    </row>
    <row r="410" ht="15.75" customHeight="1">
      <c r="A410" s="6"/>
      <c r="B410" s="6"/>
    </row>
    <row r="411" ht="15.75" customHeight="1">
      <c r="A411" s="6"/>
      <c r="B411" s="6"/>
    </row>
    <row r="412" ht="15.75" customHeight="1">
      <c r="A412" s="6"/>
      <c r="B412" s="6"/>
    </row>
    <row r="413" ht="15.75" customHeight="1">
      <c r="A413" s="6"/>
      <c r="B413" s="6"/>
    </row>
    <row r="414" ht="15.75" customHeight="1">
      <c r="A414" s="6"/>
      <c r="B414" s="6"/>
    </row>
    <row r="415" ht="15.75" customHeight="1">
      <c r="A415" s="6"/>
      <c r="B415" s="6"/>
    </row>
    <row r="416" ht="15.75" customHeight="1">
      <c r="A416" s="6"/>
      <c r="B416" s="6"/>
    </row>
    <row r="417" ht="15.75" customHeight="1">
      <c r="A417" s="6"/>
      <c r="B417" s="6"/>
    </row>
    <row r="418" ht="15.75" customHeight="1">
      <c r="A418" s="6"/>
      <c r="B418" s="6"/>
    </row>
    <row r="419" ht="15.75" customHeight="1">
      <c r="A419" s="6"/>
      <c r="B419" s="6"/>
    </row>
    <row r="420" ht="15.75" customHeight="1">
      <c r="A420" s="6"/>
      <c r="B420" s="6"/>
    </row>
    <row r="421" ht="15.75" customHeight="1">
      <c r="A421" s="6"/>
      <c r="B421" s="6"/>
    </row>
    <row r="422" ht="15.75" customHeight="1">
      <c r="A422" s="6"/>
      <c r="B422" s="6"/>
    </row>
    <row r="423" ht="15.75" customHeight="1">
      <c r="A423" s="6"/>
      <c r="B423" s="6"/>
    </row>
    <row r="424" ht="15.75" customHeight="1">
      <c r="A424" s="6"/>
      <c r="B424" s="6"/>
    </row>
    <row r="425" ht="15.75" customHeight="1">
      <c r="A425" s="6"/>
      <c r="B425" s="6"/>
    </row>
    <row r="426" ht="15.75" customHeight="1">
      <c r="A426" s="6"/>
      <c r="B426" s="6"/>
    </row>
    <row r="427" ht="15.75" customHeight="1">
      <c r="A427" s="6"/>
      <c r="B427" s="6"/>
    </row>
    <row r="428" ht="15.75" customHeight="1">
      <c r="A428" s="6"/>
      <c r="B428" s="6"/>
    </row>
    <row r="429" ht="15.75" customHeight="1">
      <c r="A429" s="6"/>
      <c r="B429" s="6"/>
    </row>
    <row r="430" ht="15.75" customHeight="1">
      <c r="A430" s="6"/>
      <c r="B430" s="6"/>
    </row>
    <row r="431" ht="15.75" customHeight="1">
      <c r="A431" s="6"/>
      <c r="B431" s="6"/>
    </row>
    <row r="432" ht="15.75" customHeight="1">
      <c r="A432" s="6"/>
      <c r="B432" s="6"/>
    </row>
    <row r="433" ht="15.75" customHeight="1">
      <c r="A433" s="6"/>
      <c r="B433" s="6"/>
    </row>
    <row r="434" ht="15.75" customHeight="1">
      <c r="A434" s="6"/>
      <c r="B434" s="6"/>
    </row>
    <row r="435" ht="15.75" customHeight="1">
      <c r="A435" s="6"/>
      <c r="B435" s="6"/>
    </row>
    <row r="436" ht="15.75" customHeight="1">
      <c r="A436" s="6"/>
      <c r="B436" s="6"/>
    </row>
    <row r="437" ht="15.75" customHeight="1">
      <c r="A437" s="6"/>
      <c r="B437" s="6"/>
    </row>
    <row r="438" ht="15.75" customHeight="1">
      <c r="A438" s="6"/>
      <c r="B438" s="6"/>
    </row>
    <row r="439" ht="15.75" customHeight="1">
      <c r="A439" s="6"/>
      <c r="B439" s="6"/>
    </row>
    <row r="440" ht="15.75" customHeight="1">
      <c r="A440" s="6"/>
      <c r="B440" s="6"/>
    </row>
    <row r="441" ht="15.75" customHeight="1">
      <c r="A441" s="6"/>
      <c r="B441" s="6"/>
    </row>
    <row r="442" ht="15.75" customHeight="1">
      <c r="A442" s="6"/>
      <c r="B442" s="6"/>
    </row>
    <row r="443" ht="15.75" customHeight="1">
      <c r="A443" s="6"/>
      <c r="B443" s="6"/>
    </row>
    <row r="444" ht="15.75" customHeight="1">
      <c r="A444" s="6"/>
      <c r="B444" s="6"/>
    </row>
    <row r="445" ht="15.75" customHeight="1">
      <c r="A445" s="6"/>
      <c r="B445" s="6"/>
    </row>
    <row r="446" ht="15.75" customHeight="1">
      <c r="A446" s="6"/>
      <c r="B446" s="6"/>
    </row>
    <row r="447" ht="15.75" customHeight="1">
      <c r="A447" s="6"/>
      <c r="B447" s="6"/>
    </row>
    <row r="448" ht="15.75" customHeight="1">
      <c r="A448" s="6"/>
      <c r="B448" s="6"/>
    </row>
    <row r="449" ht="15.75" customHeight="1">
      <c r="A449" s="6"/>
      <c r="B449" s="6"/>
    </row>
    <row r="450" ht="15.75" customHeight="1">
      <c r="A450" s="6"/>
      <c r="B450" s="6"/>
    </row>
    <row r="451" ht="15.75" customHeight="1">
      <c r="A451" s="6"/>
      <c r="B451" s="6"/>
    </row>
    <row r="452" ht="15.75" customHeight="1">
      <c r="A452" s="6"/>
      <c r="B452" s="6"/>
    </row>
    <row r="453" ht="15.75" customHeight="1">
      <c r="A453" s="6"/>
      <c r="B453" s="6"/>
    </row>
    <row r="454" ht="15.75" customHeight="1">
      <c r="A454" s="6"/>
      <c r="B454" s="6"/>
    </row>
    <row r="455" ht="15.75" customHeight="1">
      <c r="A455" s="6"/>
      <c r="B455" s="6"/>
    </row>
    <row r="456" ht="15.75" customHeight="1">
      <c r="A456" s="6"/>
      <c r="B456" s="6"/>
    </row>
    <row r="457" ht="15.75" customHeight="1">
      <c r="A457" s="6"/>
      <c r="B457" s="6"/>
    </row>
    <row r="458" ht="15.75" customHeight="1">
      <c r="A458" s="6"/>
      <c r="B458" s="6"/>
    </row>
    <row r="459" ht="15.75" customHeight="1">
      <c r="A459" s="6"/>
      <c r="B459" s="6"/>
    </row>
    <row r="460" ht="15.75" customHeight="1">
      <c r="A460" s="6"/>
      <c r="B460" s="6"/>
    </row>
    <row r="461" ht="15.75" customHeight="1">
      <c r="A461" s="6"/>
      <c r="B461" s="6"/>
    </row>
    <row r="462" ht="15.75" customHeight="1">
      <c r="A462" s="6"/>
      <c r="B462" s="6"/>
    </row>
    <row r="463" ht="15.75" customHeight="1">
      <c r="A463" s="6"/>
      <c r="B463" s="6"/>
    </row>
    <row r="464" ht="15.75" customHeight="1">
      <c r="A464" s="6"/>
      <c r="B464" s="6"/>
    </row>
    <row r="465" ht="15.75" customHeight="1">
      <c r="A465" s="6"/>
      <c r="B465" s="6"/>
    </row>
    <row r="466" ht="15.75" customHeight="1">
      <c r="A466" s="6"/>
      <c r="B466" s="6"/>
    </row>
    <row r="467" ht="15.75" customHeight="1">
      <c r="A467" s="6"/>
      <c r="B467" s="6"/>
    </row>
    <row r="468" ht="15.75" customHeight="1">
      <c r="A468" s="6"/>
      <c r="B468" s="6"/>
    </row>
    <row r="469" ht="15.75" customHeight="1">
      <c r="A469" s="6"/>
      <c r="B469" s="6"/>
    </row>
    <row r="470" ht="15.75" customHeight="1">
      <c r="A470" s="6"/>
      <c r="B470" s="6"/>
    </row>
    <row r="471" ht="15.75" customHeight="1">
      <c r="A471" s="6"/>
      <c r="B471" s="6"/>
    </row>
    <row r="472" ht="15.75" customHeight="1">
      <c r="A472" s="6"/>
      <c r="B472" s="6"/>
    </row>
    <row r="473" ht="15.75" customHeight="1">
      <c r="A473" s="6"/>
      <c r="B473" s="6"/>
    </row>
    <row r="474" ht="15.75" customHeight="1">
      <c r="A474" s="6"/>
      <c r="B474" s="6"/>
    </row>
    <row r="475" ht="15.75" customHeight="1">
      <c r="A475" s="6"/>
      <c r="B475" s="6"/>
    </row>
    <row r="476" ht="15.75" customHeight="1">
      <c r="A476" s="6"/>
      <c r="B476" s="6"/>
    </row>
    <row r="477" ht="15.75" customHeight="1">
      <c r="A477" s="6"/>
      <c r="B477" s="6"/>
    </row>
    <row r="478" ht="15.75" customHeight="1">
      <c r="A478" s="6"/>
      <c r="B478" s="6"/>
    </row>
    <row r="479" ht="15.75" customHeight="1">
      <c r="A479" s="6"/>
      <c r="B479" s="6"/>
    </row>
    <row r="480" ht="15.75" customHeight="1">
      <c r="A480" s="6"/>
      <c r="B480" s="6"/>
    </row>
    <row r="481" ht="15.75" customHeight="1">
      <c r="A481" s="6"/>
      <c r="B481" s="6"/>
    </row>
    <row r="482" ht="15.75" customHeight="1">
      <c r="A482" s="6"/>
      <c r="B482" s="6"/>
    </row>
    <row r="483" ht="15.75" customHeight="1">
      <c r="A483" s="6"/>
      <c r="B483" s="6"/>
    </row>
    <row r="484" ht="15.75" customHeight="1">
      <c r="A484" s="6"/>
      <c r="B484" s="6"/>
    </row>
    <row r="485" ht="15.75" customHeight="1">
      <c r="A485" s="6"/>
      <c r="B485" s="6"/>
    </row>
    <row r="486" ht="15.75" customHeight="1">
      <c r="A486" s="6"/>
      <c r="B486" s="6"/>
    </row>
    <row r="487" ht="15.75" customHeight="1">
      <c r="A487" s="6"/>
      <c r="B487" s="6"/>
    </row>
    <row r="488" ht="15.75" customHeight="1">
      <c r="A488" s="6"/>
      <c r="B488" s="6"/>
    </row>
    <row r="489" ht="15.75" customHeight="1">
      <c r="A489" s="6"/>
      <c r="B489" s="6"/>
    </row>
    <row r="490" ht="15.75" customHeight="1">
      <c r="A490" s="6"/>
      <c r="B490" s="6"/>
    </row>
    <row r="491" ht="15.75" customHeight="1">
      <c r="A491" s="6"/>
      <c r="B491" s="6"/>
    </row>
    <row r="492" ht="15.75" customHeight="1">
      <c r="A492" s="6"/>
      <c r="B492" s="6"/>
    </row>
    <row r="493" ht="15.75" customHeight="1">
      <c r="A493" s="6"/>
      <c r="B493" s="6"/>
    </row>
    <row r="494" ht="15.75" customHeight="1">
      <c r="A494" s="6"/>
      <c r="B494" s="6"/>
    </row>
    <row r="495" ht="15.75" customHeight="1">
      <c r="A495" s="6"/>
      <c r="B495" s="6"/>
    </row>
    <row r="496" ht="15.75" customHeight="1">
      <c r="A496" s="6"/>
      <c r="B496" s="6"/>
    </row>
    <row r="497" ht="15.75" customHeight="1">
      <c r="A497" s="6"/>
      <c r="B497" s="6"/>
    </row>
    <row r="498" ht="15.75" customHeight="1">
      <c r="A498" s="6"/>
      <c r="B498" s="6"/>
    </row>
    <row r="499" ht="15.75" customHeight="1">
      <c r="A499" s="6"/>
      <c r="B499" s="6"/>
    </row>
    <row r="500" ht="15.75" customHeight="1">
      <c r="A500" s="6"/>
      <c r="B500" s="6"/>
    </row>
    <row r="501" ht="15.75" customHeight="1">
      <c r="A501" s="6"/>
      <c r="B501" s="6"/>
    </row>
    <row r="502" ht="15.75" customHeight="1">
      <c r="A502" s="6"/>
      <c r="B502" s="6"/>
    </row>
    <row r="503" ht="15.75" customHeight="1">
      <c r="A503" s="6"/>
      <c r="B503" s="6"/>
    </row>
    <row r="504" ht="15.75" customHeight="1">
      <c r="A504" s="6"/>
      <c r="B504" s="6"/>
    </row>
    <row r="505" ht="15.75" customHeight="1">
      <c r="A505" s="6"/>
      <c r="B505" s="6"/>
    </row>
    <row r="506" ht="15.75" customHeight="1">
      <c r="A506" s="6"/>
      <c r="B506" s="6"/>
    </row>
    <row r="507" ht="15.75" customHeight="1">
      <c r="A507" s="6"/>
      <c r="B507" s="6"/>
    </row>
    <row r="508" ht="15.75" customHeight="1">
      <c r="A508" s="6"/>
      <c r="B508" s="6"/>
    </row>
    <row r="509" ht="15.75" customHeight="1">
      <c r="A509" s="6"/>
      <c r="B509" s="6"/>
    </row>
    <row r="510" ht="15.75" customHeight="1">
      <c r="A510" s="6"/>
      <c r="B510" s="6"/>
    </row>
    <row r="511" ht="15.75" customHeight="1">
      <c r="A511" s="6"/>
      <c r="B511" s="6"/>
    </row>
    <row r="512" ht="15.75" customHeight="1">
      <c r="A512" s="6"/>
      <c r="B512" s="6"/>
    </row>
    <row r="513" ht="15.75" customHeight="1">
      <c r="A513" s="6"/>
      <c r="B513" s="6"/>
    </row>
    <row r="514" ht="15.75" customHeight="1">
      <c r="A514" s="6"/>
      <c r="B514" s="6"/>
    </row>
    <row r="515" ht="15.75" customHeight="1">
      <c r="A515" s="6"/>
      <c r="B515" s="6"/>
    </row>
    <row r="516" ht="15.75" customHeight="1">
      <c r="A516" s="6"/>
      <c r="B516" s="6"/>
    </row>
    <row r="517" ht="15.75" customHeight="1">
      <c r="A517" s="6"/>
      <c r="B517" s="6"/>
    </row>
    <row r="518" ht="15.75" customHeight="1">
      <c r="A518" s="6"/>
      <c r="B518" s="6"/>
    </row>
    <row r="519" ht="15.75" customHeight="1">
      <c r="A519" s="6"/>
      <c r="B519" s="6"/>
    </row>
    <row r="520" ht="15.75" customHeight="1">
      <c r="A520" s="6"/>
      <c r="B520" s="6"/>
    </row>
    <row r="521" ht="15.75" customHeight="1">
      <c r="A521" s="6"/>
      <c r="B521" s="6"/>
    </row>
    <row r="522" ht="15.75" customHeight="1">
      <c r="A522" s="6"/>
      <c r="B522" s="6"/>
    </row>
    <row r="523" ht="15.75" customHeight="1">
      <c r="A523" s="6"/>
      <c r="B523" s="6"/>
    </row>
    <row r="524" ht="15.75" customHeight="1">
      <c r="A524" s="6"/>
      <c r="B524" s="6"/>
    </row>
    <row r="525" ht="15.75" customHeight="1">
      <c r="A525" s="6"/>
      <c r="B525" s="6"/>
    </row>
    <row r="526" ht="15.75" customHeight="1">
      <c r="A526" s="6"/>
      <c r="B526" s="6"/>
    </row>
    <row r="527" ht="15.75" customHeight="1">
      <c r="A527" s="6"/>
      <c r="B527" s="6"/>
    </row>
    <row r="528" ht="15.75" customHeight="1">
      <c r="A528" s="6"/>
      <c r="B528" s="6"/>
    </row>
    <row r="529" ht="15.75" customHeight="1">
      <c r="A529" s="6"/>
      <c r="B529" s="6"/>
    </row>
    <row r="530" ht="15.75" customHeight="1">
      <c r="A530" s="6"/>
      <c r="B530" s="6"/>
    </row>
    <row r="531" ht="15.75" customHeight="1">
      <c r="A531" s="6"/>
      <c r="B531" s="6"/>
    </row>
    <row r="532" ht="15.75" customHeight="1">
      <c r="A532" s="6"/>
      <c r="B532" s="6"/>
    </row>
    <row r="533" ht="15.75" customHeight="1">
      <c r="A533" s="6"/>
      <c r="B533" s="6"/>
    </row>
    <row r="534" ht="15.75" customHeight="1">
      <c r="A534" s="6"/>
      <c r="B534" s="6"/>
    </row>
    <row r="535" ht="15.75" customHeight="1">
      <c r="A535" s="6"/>
      <c r="B535" s="6"/>
    </row>
    <row r="536" ht="15.75" customHeight="1">
      <c r="A536" s="6"/>
      <c r="B536" s="6"/>
    </row>
    <row r="537" ht="15.75" customHeight="1">
      <c r="A537" s="6"/>
      <c r="B537" s="6"/>
    </row>
    <row r="538" ht="15.75" customHeight="1">
      <c r="A538" s="6"/>
      <c r="B538" s="6"/>
    </row>
    <row r="539" ht="15.75" customHeight="1">
      <c r="A539" s="6"/>
      <c r="B539" s="6"/>
    </row>
    <row r="540" ht="15.75" customHeight="1">
      <c r="A540" s="6"/>
      <c r="B540" s="6"/>
    </row>
    <row r="541" ht="15.75" customHeight="1">
      <c r="A541" s="6"/>
      <c r="B541" s="6"/>
    </row>
    <row r="542" ht="15.75" customHeight="1">
      <c r="A542" s="6"/>
      <c r="B542" s="6"/>
    </row>
    <row r="543" ht="15.75" customHeight="1">
      <c r="A543" s="6"/>
      <c r="B543" s="6"/>
    </row>
    <row r="544" ht="15.75" customHeight="1">
      <c r="A544" s="6"/>
      <c r="B544" s="6"/>
    </row>
    <row r="545" ht="15.75" customHeight="1">
      <c r="A545" s="6"/>
      <c r="B545" s="6"/>
    </row>
    <row r="546" ht="15.75" customHeight="1">
      <c r="A546" s="6"/>
      <c r="B546" s="6"/>
    </row>
    <row r="547" ht="15.75" customHeight="1">
      <c r="A547" s="6"/>
      <c r="B547" s="6"/>
    </row>
    <row r="548" ht="15.75" customHeight="1">
      <c r="A548" s="6"/>
      <c r="B548" s="6"/>
    </row>
    <row r="549" ht="15.75" customHeight="1">
      <c r="A549" s="6"/>
      <c r="B549" s="6"/>
    </row>
    <row r="550" ht="15.75" customHeight="1">
      <c r="A550" s="6"/>
      <c r="B550" s="6"/>
    </row>
    <row r="551" ht="15.75" customHeight="1">
      <c r="A551" s="6"/>
      <c r="B551" s="6"/>
    </row>
    <row r="552" ht="15.75" customHeight="1">
      <c r="A552" s="6"/>
      <c r="B552" s="6"/>
    </row>
    <row r="553" ht="15.75" customHeight="1">
      <c r="A553" s="6"/>
      <c r="B553" s="6"/>
    </row>
    <row r="554" ht="15.75" customHeight="1">
      <c r="A554" s="6"/>
      <c r="B554" s="6"/>
    </row>
    <row r="555" ht="15.75" customHeight="1">
      <c r="A555" s="6"/>
      <c r="B555" s="6"/>
    </row>
    <row r="556" ht="15.75" customHeight="1">
      <c r="A556" s="6"/>
      <c r="B556" s="6"/>
    </row>
    <row r="557" ht="15.75" customHeight="1">
      <c r="A557" s="6"/>
      <c r="B557" s="6"/>
    </row>
    <row r="558" ht="15.75" customHeight="1">
      <c r="A558" s="6"/>
      <c r="B558" s="6"/>
    </row>
    <row r="559" ht="15.75" customHeight="1">
      <c r="A559" s="6"/>
      <c r="B559" s="6"/>
    </row>
    <row r="560" ht="15.75" customHeight="1">
      <c r="A560" s="6"/>
      <c r="B560" s="6"/>
    </row>
    <row r="561" ht="15.75" customHeight="1">
      <c r="A561" s="6"/>
      <c r="B561" s="6"/>
    </row>
    <row r="562" ht="15.75" customHeight="1">
      <c r="A562" s="6"/>
      <c r="B562" s="6"/>
    </row>
    <row r="563" ht="15.75" customHeight="1">
      <c r="A563" s="6"/>
      <c r="B563" s="6"/>
    </row>
    <row r="564" ht="15.75" customHeight="1">
      <c r="A564" s="6"/>
      <c r="B564" s="6"/>
    </row>
    <row r="565" ht="15.75" customHeight="1">
      <c r="A565" s="6"/>
      <c r="B565" s="6"/>
    </row>
    <row r="566" ht="15.75" customHeight="1">
      <c r="A566" s="6"/>
      <c r="B566" s="6"/>
    </row>
    <row r="567" ht="15.75" customHeight="1">
      <c r="A567" s="6"/>
      <c r="B567" s="6"/>
    </row>
    <row r="568" ht="15.75" customHeight="1">
      <c r="A568" s="6"/>
      <c r="B568" s="6"/>
    </row>
    <row r="569" ht="15.75" customHeight="1">
      <c r="A569" s="6"/>
      <c r="B569" s="6"/>
    </row>
    <row r="570" ht="15.75" customHeight="1">
      <c r="A570" s="6"/>
      <c r="B570" s="6"/>
    </row>
    <row r="571" ht="15.75" customHeight="1">
      <c r="A571" s="6"/>
      <c r="B571" s="6"/>
    </row>
    <row r="572" ht="15.75" customHeight="1">
      <c r="A572" s="6"/>
      <c r="B572" s="6"/>
    </row>
    <row r="573" ht="15.75" customHeight="1">
      <c r="A573" s="6"/>
      <c r="B573" s="6"/>
    </row>
    <row r="574" ht="15.75" customHeight="1">
      <c r="A574" s="6"/>
      <c r="B574" s="6"/>
    </row>
    <row r="575" ht="15.75" customHeight="1">
      <c r="A575" s="6"/>
      <c r="B575" s="6"/>
    </row>
    <row r="576" ht="15.75" customHeight="1">
      <c r="A576" s="6"/>
      <c r="B576" s="6"/>
    </row>
    <row r="577" ht="15.75" customHeight="1">
      <c r="A577" s="6"/>
      <c r="B577" s="6"/>
    </row>
    <row r="578" ht="15.75" customHeight="1">
      <c r="A578" s="6"/>
      <c r="B578" s="6"/>
    </row>
    <row r="579" ht="15.75" customHeight="1">
      <c r="A579" s="6"/>
      <c r="B579" s="6"/>
    </row>
    <row r="580" ht="15.75" customHeight="1">
      <c r="A580" s="6"/>
      <c r="B580" s="6"/>
    </row>
    <row r="581" ht="15.75" customHeight="1">
      <c r="A581" s="6"/>
      <c r="B581" s="6"/>
    </row>
    <row r="582" ht="15.75" customHeight="1">
      <c r="A582" s="6"/>
      <c r="B582" s="6"/>
    </row>
    <row r="583" ht="15.75" customHeight="1">
      <c r="A583" s="6"/>
      <c r="B583" s="6"/>
    </row>
    <row r="584" ht="15.75" customHeight="1">
      <c r="A584" s="6"/>
      <c r="B584" s="6"/>
    </row>
    <row r="585" ht="15.75" customHeight="1">
      <c r="A585" s="6"/>
      <c r="B585" s="6"/>
    </row>
    <row r="586" ht="15.75" customHeight="1">
      <c r="A586" s="6"/>
      <c r="B586" s="6"/>
    </row>
    <row r="587" ht="15.75" customHeight="1">
      <c r="A587" s="6"/>
      <c r="B587" s="6"/>
    </row>
    <row r="588" ht="15.75" customHeight="1">
      <c r="A588" s="6"/>
      <c r="B588" s="6"/>
    </row>
    <row r="589" ht="15.75" customHeight="1">
      <c r="A589" s="6"/>
      <c r="B589" s="6"/>
    </row>
    <row r="590" ht="15.75" customHeight="1">
      <c r="A590" s="6"/>
      <c r="B590" s="6"/>
    </row>
    <row r="591" ht="15.75" customHeight="1">
      <c r="A591" s="6"/>
      <c r="B591" s="6"/>
    </row>
    <row r="592" ht="15.75" customHeight="1">
      <c r="A592" s="6"/>
      <c r="B592" s="6"/>
    </row>
    <row r="593" ht="15.75" customHeight="1">
      <c r="A593" s="6"/>
      <c r="B593" s="6"/>
    </row>
    <row r="594" ht="15.75" customHeight="1">
      <c r="A594" s="6"/>
      <c r="B594" s="6"/>
    </row>
    <row r="595" ht="15.75" customHeight="1">
      <c r="A595" s="6"/>
      <c r="B595" s="6"/>
    </row>
    <row r="596" ht="15.75" customHeight="1">
      <c r="A596" s="6"/>
      <c r="B596" s="6"/>
    </row>
    <row r="597" ht="15.75" customHeight="1">
      <c r="A597" s="6"/>
      <c r="B597" s="6"/>
    </row>
    <row r="598" ht="15.75" customHeight="1">
      <c r="A598" s="6"/>
      <c r="B598" s="6"/>
    </row>
    <row r="599" ht="15.75" customHeight="1">
      <c r="A599" s="6"/>
      <c r="B599" s="6"/>
    </row>
    <row r="600" ht="15.75" customHeight="1">
      <c r="A600" s="6"/>
      <c r="B600" s="6"/>
    </row>
    <row r="601" ht="15.75" customHeight="1">
      <c r="A601" s="6"/>
      <c r="B601" s="6"/>
    </row>
    <row r="602" ht="15.75" customHeight="1">
      <c r="A602" s="6"/>
      <c r="B602" s="6"/>
    </row>
    <row r="603" ht="15.75" customHeight="1">
      <c r="A603" s="6"/>
      <c r="B603" s="6"/>
    </row>
    <row r="604" ht="15.75" customHeight="1">
      <c r="A604" s="6"/>
      <c r="B604" s="6"/>
    </row>
    <row r="605" ht="15.75" customHeight="1">
      <c r="A605" s="6"/>
      <c r="B605" s="6"/>
    </row>
    <row r="606" ht="15.75" customHeight="1">
      <c r="A606" s="6"/>
      <c r="B606" s="6"/>
    </row>
    <row r="607" ht="15.75" customHeight="1">
      <c r="A607" s="6"/>
      <c r="B607" s="6"/>
    </row>
    <row r="608" ht="15.75" customHeight="1">
      <c r="A608" s="6"/>
      <c r="B608" s="6"/>
    </row>
    <row r="609" ht="15.75" customHeight="1">
      <c r="A609" s="6"/>
      <c r="B609" s="6"/>
    </row>
    <row r="610" ht="15.75" customHeight="1">
      <c r="A610" s="6"/>
      <c r="B610" s="6"/>
    </row>
    <row r="611" ht="15.75" customHeight="1">
      <c r="A611" s="6"/>
      <c r="B611" s="6"/>
    </row>
    <row r="612" ht="15.75" customHeight="1">
      <c r="A612" s="6"/>
      <c r="B612" s="6"/>
    </row>
    <row r="613" ht="15.75" customHeight="1">
      <c r="A613" s="6"/>
      <c r="B613" s="6"/>
    </row>
    <row r="614" ht="15.75" customHeight="1">
      <c r="A614" s="6"/>
      <c r="B614" s="6"/>
    </row>
    <row r="615" ht="15.75" customHeight="1">
      <c r="A615" s="6"/>
      <c r="B615" s="6"/>
    </row>
    <row r="616" ht="15.75" customHeight="1">
      <c r="A616" s="6"/>
      <c r="B616" s="6"/>
    </row>
    <row r="617" ht="15.75" customHeight="1">
      <c r="A617" s="6"/>
      <c r="B617" s="6"/>
    </row>
    <row r="618" ht="15.75" customHeight="1">
      <c r="A618" s="6"/>
      <c r="B618" s="6"/>
    </row>
    <row r="619" ht="15.75" customHeight="1">
      <c r="A619" s="6"/>
      <c r="B619" s="6"/>
    </row>
    <row r="620" ht="15.75" customHeight="1">
      <c r="A620" s="6"/>
      <c r="B620" s="6"/>
    </row>
    <row r="621" ht="15.75" customHeight="1">
      <c r="A621" s="6"/>
      <c r="B621" s="6"/>
    </row>
    <row r="622" ht="15.75" customHeight="1">
      <c r="A622" s="6"/>
      <c r="B622" s="6"/>
    </row>
    <row r="623" ht="15.75" customHeight="1">
      <c r="A623" s="6"/>
      <c r="B623" s="6"/>
    </row>
    <row r="624" ht="15.75" customHeight="1">
      <c r="A624" s="6"/>
      <c r="B624" s="6"/>
    </row>
    <row r="625" ht="15.75" customHeight="1">
      <c r="A625" s="6"/>
      <c r="B625" s="6"/>
    </row>
    <row r="626" ht="15.75" customHeight="1">
      <c r="A626" s="6"/>
      <c r="B626" s="6"/>
    </row>
    <row r="627" ht="15.75" customHeight="1">
      <c r="A627" s="6"/>
      <c r="B627" s="6"/>
    </row>
    <row r="628" ht="15.75" customHeight="1">
      <c r="A628" s="6"/>
      <c r="B628" s="6"/>
    </row>
    <row r="629" ht="15.75" customHeight="1">
      <c r="A629" s="6"/>
      <c r="B629" s="6"/>
    </row>
    <row r="630" ht="15.75" customHeight="1">
      <c r="A630" s="6"/>
      <c r="B630" s="6"/>
    </row>
    <row r="631" ht="15.75" customHeight="1">
      <c r="A631" s="6"/>
      <c r="B631" s="6"/>
    </row>
    <row r="632" ht="15.75" customHeight="1">
      <c r="A632" s="6"/>
      <c r="B632" s="6"/>
    </row>
    <row r="633" ht="15.75" customHeight="1">
      <c r="A633" s="6"/>
      <c r="B633" s="6"/>
    </row>
    <row r="634" ht="15.75" customHeight="1">
      <c r="A634" s="6"/>
      <c r="B634" s="6"/>
    </row>
    <row r="635" ht="15.75" customHeight="1">
      <c r="A635" s="6"/>
      <c r="B635" s="6"/>
    </row>
    <row r="636" ht="15.75" customHeight="1">
      <c r="A636" s="6"/>
      <c r="B636" s="6"/>
    </row>
    <row r="637" ht="15.75" customHeight="1">
      <c r="A637" s="6"/>
      <c r="B637" s="6"/>
    </row>
    <row r="638" ht="15.75" customHeight="1">
      <c r="A638" s="6"/>
      <c r="B638" s="6"/>
    </row>
    <row r="639" ht="15.75" customHeight="1">
      <c r="A639" s="6"/>
      <c r="B639" s="6"/>
    </row>
    <row r="640" ht="15.75" customHeight="1">
      <c r="A640" s="6"/>
      <c r="B640" s="6"/>
    </row>
    <row r="641" ht="15.75" customHeight="1">
      <c r="A641" s="6"/>
      <c r="B641" s="6"/>
    </row>
    <row r="642" ht="15.75" customHeight="1">
      <c r="A642" s="6"/>
      <c r="B642" s="6"/>
    </row>
    <row r="643" ht="15.75" customHeight="1">
      <c r="A643" s="6"/>
      <c r="B643" s="6"/>
    </row>
    <row r="644" ht="15.75" customHeight="1">
      <c r="A644" s="6"/>
      <c r="B644" s="6"/>
    </row>
    <row r="645" ht="15.75" customHeight="1">
      <c r="A645" s="6"/>
      <c r="B645" s="6"/>
    </row>
    <row r="646" ht="15.75" customHeight="1">
      <c r="A646" s="6"/>
      <c r="B646" s="6"/>
    </row>
    <row r="647" ht="15.75" customHeight="1">
      <c r="A647" s="6"/>
      <c r="B647" s="6"/>
    </row>
    <row r="648" ht="15.75" customHeight="1">
      <c r="A648" s="6"/>
      <c r="B648" s="6"/>
    </row>
    <row r="649" ht="15.75" customHeight="1">
      <c r="A649" s="6"/>
      <c r="B649" s="6"/>
    </row>
    <row r="650" ht="15.75" customHeight="1">
      <c r="A650" s="6"/>
      <c r="B650" s="6"/>
    </row>
    <row r="651" ht="15.75" customHeight="1">
      <c r="A651" s="6"/>
      <c r="B651" s="6"/>
    </row>
    <row r="652" ht="15.75" customHeight="1">
      <c r="A652" s="6"/>
      <c r="B652" s="6"/>
    </row>
    <row r="653" ht="15.75" customHeight="1">
      <c r="A653" s="6"/>
      <c r="B653" s="6"/>
    </row>
    <row r="654" ht="15.75" customHeight="1">
      <c r="A654" s="6"/>
      <c r="B654" s="6"/>
    </row>
    <row r="655" ht="15.75" customHeight="1">
      <c r="A655" s="6"/>
      <c r="B655" s="6"/>
    </row>
    <row r="656" ht="15.75" customHeight="1">
      <c r="A656" s="6"/>
      <c r="B656" s="6"/>
    </row>
    <row r="657" ht="15.75" customHeight="1">
      <c r="A657" s="6"/>
      <c r="B657" s="6"/>
    </row>
    <row r="658" ht="15.75" customHeight="1">
      <c r="A658" s="6"/>
      <c r="B658" s="6"/>
    </row>
    <row r="659" ht="15.75" customHeight="1">
      <c r="A659" s="6"/>
      <c r="B659" s="6"/>
    </row>
    <row r="660" ht="15.75" customHeight="1">
      <c r="A660" s="6"/>
      <c r="B660" s="6"/>
    </row>
    <row r="661" ht="15.75" customHeight="1">
      <c r="A661" s="6"/>
      <c r="B661" s="6"/>
    </row>
    <row r="662" ht="15.75" customHeight="1">
      <c r="A662" s="6"/>
      <c r="B662" s="6"/>
    </row>
    <row r="663" ht="15.75" customHeight="1">
      <c r="A663" s="6"/>
      <c r="B663" s="6"/>
    </row>
    <row r="664" ht="15.75" customHeight="1">
      <c r="A664" s="6"/>
      <c r="B664" s="6"/>
    </row>
    <row r="665" ht="15.75" customHeight="1">
      <c r="A665" s="6"/>
      <c r="B665" s="6"/>
    </row>
    <row r="666" ht="15.75" customHeight="1">
      <c r="A666" s="6"/>
      <c r="B666" s="6"/>
    </row>
    <row r="667" ht="15.75" customHeight="1">
      <c r="A667" s="6"/>
      <c r="B667" s="6"/>
    </row>
    <row r="668" ht="15.75" customHeight="1">
      <c r="A668" s="6"/>
      <c r="B668" s="6"/>
    </row>
    <row r="669" ht="15.75" customHeight="1">
      <c r="A669" s="6"/>
      <c r="B669" s="6"/>
    </row>
    <row r="670" ht="15.75" customHeight="1">
      <c r="A670" s="6"/>
      <c r="B670" s="6"/>
    </row>
    <row r="671" ht="15.75" customHeight="1">
      <c r="A671" s="6"/>
      <c r="B671" s="6"/>
    </row>
    <row r="672" ht="15.75" customHeight="1">
      <c r="A672" s="6"/>
      <c r="B672" s="6"/>
    </row>
    <row r="673" ht="15.75" customHeight="1">
      <c r="A673" s="6"/>
      <c r="B673" s="6"/>
    </row>
    <row r="674" ht="15.75" customHeight="1">
      <c r="A674" s="6"/>
      <c r="B674" s="6"/>
    </row>
    <row r="675" ht="15.75" customHeight="1">
      <c r="A675" s="6"/>
      <c r="B675" s="6"/>
    </row>
    <row r="676" ht="15.75" customHeight="1">
      <c r="A676" s="6"/>
      <c r="B676" s="6"/>
    </row>
    <row r="677" ht="15.75" customHeight="1">
      <c r="A677" s="6"/>
      <c r="B677" s="6"/>
    </row>
    <row r="678" ht="15.75" customHeight="1">
      <c r="A678" s="6"/>
      <c r="B678" s="6"/>
    </row>
    <row r="679" ht="15.75" customHeight="1">
      <c r="A679" s="6"/>
      <c r="B679" s="6"/>
    </row>
    <row r="680" ht="15.75" customHeight="1">
      <c r="A680" s="6"/>
      <c r="B680" s="6"/>
    </row>
    <row r="681" ht="15.75" customHeight="1">
      <c r="A681" s="6"/>
      <c r="B681" s="6"/>
    </row>
    <row r="682" ht="15.75" customHeight="1">
      <c r="A682" s="6"/>
      <c r="B682" s="6"/>
    </row>
    <row r="683" ht="15.75" customHeight="1">
      <c r="A683" s="6"/>
      <c r="B683" s="6"/>
    </row>
    <row r="684" ht="15.75" customHeight="1">
      <c r="A684" s="6"/>
      <c r="B684" s="6"/>
    </row>
    <row r="685" ht="15.75" customHeight="1">
      <c r="A685" s="6"/>
      <c r="B685" s="6"/>
    </row>
    <row r="686" ht="15.75" customHeight="1">
      <c r="A686" s="6"/>
      <c r="B686" s="6"/>
    </row>
    <row r="687" ht="15.75" customHeight="1">
      <c r="A687" s="6"/>
      <c r="B687" s="6"/>
    </row>
    <row r="688" ht="15.75" customHeight="1">
      <c r="A688" s="6"/>
      <c r="B688" s="6"/>
    </row>
    <row r="689" ht="15.75" customHeight="1">
      <c r="A689" s="6"/>
      <c r="B689" s="6"/>
    </row>
    <row r="690" ht="15.75" customHeight="1">
      <c r="A690" s="6"/>
      <c r="B690" s="6"/>
    </row>
    <row r="691" ht="15.75" customHeight="1">
      <c r="A691" s="6"/>
      <c r="B691" s="6"/>
    </row>
    <row r="692" ht="15.75" customHeight="1">
      <c r="A692" s="6"/>
      <c r="B692" s="6"/>
    </row>
    <row r="693" ht="15.75" customHeight="1">
      <c r="A693" s="6"/>
      <c r="B693" s="6"/>
    </row>
    <row r="694" ht="15.75" customHeight="1">
      <c r="A694" s="6"/>
      <c r="B694" s="6"/>
    </row>
    <row r="695" ht="15.75" customHeight="1">
      <c r="A695" s="6"/>
      <c r="B695" s="6"/>
    </row>
    <row r="696" ht="15.75" customHeight="1">
      <c r="A696" s="6"/>
      <c r="B696" s="6"/>
    </row>
    <row r="697" ht="15.75" customHeight="1">
      <c r="A697" s="6"/>
      <c r="B697" s="6"/>
    </row>
    <row r="698" ht="15.75" customHeight="1">
      <c r="A698" s="6"/>
      <c r="B698" s="6"/>
    </row>
    <row r="699" ht="15.75" customHeight="1">
      <c r="A699" s="6"/>
      <c r="B699" s="6"/>
    </row>
    <row r="700" ht="15.75" customHeight="1">
      <c r="A700" s="6"/>
      <c r="B700" s="6"/>
    </row>
    <row r="701" ht="15.75" customHeight="1">
      <c r="A701" s="6"/>
      <c r="B701" s="6"/>
    </row>
    <row r="702" ht="15.75" customHeight="1">
      <c r="A702" s="6"/>
      <c r="B702" s="6"/>
    </row>
    <row r="703" ht="15.75" customHeight="1">
      <c r="A703" s="6"/>
      <c r="B703" s="6"/>
    </row>
    <row r="704" ht="15.75" customHeight="1">
      <c r="A704" s="6"/>
      <c r="B704" s="6"/>
    </row>
    <row r="705" ht="15.75" customHeight="1">
      <c r="A705" s="6"/>
      <c r="B705" s="6"/>
    </row>
    <row r="706" ht="15.75" customHeight="1">
      <c r="A706" s="6"/>
      <c r="B706" s="6"/>
    </row>
    <row r="707" ht="15.75" customHeight="1">
      <c r="A707" s="6"/>
      <c r="B707" s="6"/>
    </row>
    <row r="708" ht="15.75" customHeight="1">
      <c r="A708" s="6"/>
      <c r="B708" s="6"/>
    </row>
    <row r="709" ht="15.75" customHeight="1">
      <c r="A709" s="6"/>
      <c r="B709" s="6"/>
    </row>
    <row r="710" ht="15.75" customHeight="1">
      <c r="A710" s="6"/>
      <c r="B710" s="6"/>
    </row>
    <row r="711" ht="15.75" customHeight="1">
      <c r="A711" s="6"/>
      <c r="B711" s="6"/>
    </row>
    <row r="712" ht="15.75" customHeight="1">
      <c r="A712" s="6"/>
      <c r="B712" s="6"/>
    </row>
    <row r="713" ht="15.75" customHeight="1">
      <c r="A713" s="6"/>
      <c r="B713" s="6"/>
    </row>
    <row r="714" ht="15.75" customHeight="1">
      <c r="A714" s="6"/>
      <c r="B714" s="6"/>
    </row>
    <row r="715" ht="15.75" customHeight="1">
      <c r="A715" s="6"/>
      <c r="B715" s="6"/>
    </row>
    <row r="716" ht="15.75" customHeight="1">
      <c r="A716" s="6"/>
      <c r="B716" s="6"/>
    </row>
    <row r="717" ht="15.75" customHeight="1">
      <c r="A717" s="6"/>
      <c r="B717" s="6"/>
    </row>
    <row r="718" ht="15.75" customHeight="1">
      <c r="A718" s="6"/>
      <c r="B718" s="6"/>
    </row>
    <row r="719" ht="15.75" customHeight="1">
      <c r="A719" s="6"/>
      <c r="B719" s="6"/>
    </row>
    <row r="720" ht="15.75" customHeight="1">
      <c r="A720" s="6"/>
      <c r="B720" s="6"/>
    </row>
    <row r="721" ht="15.75" customHeight="1">
      <c r="A721" s="6"/>
      <c r="B721" s="6"/>
    </row>
    <row r="722" ht="15.75" customHeight="1">
      <c r="A722" s="6"/>
      <c r="B722" s="6"/>
    </row>
    <row r="723" ht="15.75" customHeight="1">
      <c r="A723" s="6"/>
      <c r="B723" s="6"/>
    </row>
    <row r="724" ht="15.75" customHeight="1">
      <c r="A724" s="6"/>
      <c r="B724" s="6"/>
    </row>
    <row r="725" ht="15.75" customHeight="1">
      <c r="A725" s="6"/>
      <c r="B725" s="6"/>
    </row>
    <row r="726" ht="15.75" customHeight="1">
      <c r="A726" s="6"/>
      <c r="B726" s="6"/>
    </row>
    <row r="727" ht="15.75" customHeight="1">
      <c r="A727" s="6"/>
      <c r="B727" s="6"/>
    </row>
    <row r="728" ht="15.75" customHeight="1">
      <c r="A728" s="6"/>
      <c r="B728" s="6"/>
    </row>
    <row r="729" ht="15.75" customHeight="1">
      <c r="A729" s="6"/>
      <c r="B729" s="6"/>
    </row>
    <row r="730" ht="15.75" customHeight="1">
      <c r="A730" s="6"/>
      <c r="B730" s="6"/>
    </row>
    <row r="731" ht="15.75" customHeight="1">
      <c r="A731" s="6"/>
      <c r="B731" s="6"/>
    </row>
    <row r="732" ht="15.75" customHeight="1">
      <c r="A732" s="6"/>
      <c r="B732" s="6"/>
    </row>
    <row r="733" ht="15.75" customHeight="1">
      <c r="A733" s="6"/>
      <c r="B733" s="6"/>
    </row>
    <row r="734" ht="15.75" customHeight="1">
      <c r="A734" s="6"/>
      <c r="B734" s="6"/>
    </row>
    <row r="735" ht="15.75" customHeight="1">
      <c r="A735" s="6"/>
      <c r="B735" s="6"/>
    </row>
    <row r="736" ht="15.75" customHeight="1">
      <c r="A736" s="6"/>
      <c r="B736" s="6"/>
    </row>
    <row r="737" ht="15.75" customHeight="1">
      <c r="A737" s="6"/>
      <c r="B737" s="6"/>
    </row>
    <row r="738" ht="15.75" customHeight="1">
      <c r="A738" s="6"/>
      <c r="B738" s="6"/>
    </row>
    <row r="739" ht="15.75" customHeight="1">
      <c r="A739" s="6"/>
      <c r="B739" s="6"/>
    </row>
    <row r="740" ht="15.75" customHeight="1">
      <c r="A740" s="6"/>
      <c r="B740" s="6"/>
    </row>
    <row r="741" ht="15.75" customHeight="1">
      <c r="A741" s="6"/>
      <c r="B741" s="6"/>
    </row>
    <row r="742" ht="15.75" customHeight="1">
      <c r="A742" s="6"/>
      <c r="B742" s="6"/>
    </row>
    <row r="743" ht="15.75" customHeight="1">
      <c r="A743" s="6"/>
      <c r="B743" s="6"/>
    </row>
    <row r="744" ht="15.75" customHeight="1">
      <c r="A744" s="6"/>
      <c r="B744" s="6"/>
    </row>
    <row r="745" ht="15.75" customHeight="1">
      <c r="A745" s="6"/>
      <c r="B745" s="6"/>
    </row>
    <row r="746" ht="15.75" customHeight="1">
      <c r="A746" s="6"/>
      <c r="B746" s="6"/>
    </row>
    <row r="747" ht="15.75" customHeight="1">
      <c r="A747" s="6"/>
      <c r="B747" s="6"/>
    </row>
    <row r="748" ht="15.75" customHeight="1">
      <c r="A748" s="6"/>
      <c r="B748" s="6"/>
    </row>
    <row r="749" ht="15.75" customHeight="1">
      <c r="A749" s="6"/>
      <c r="B749" s="6"/>
    </row>
    <row r="750" ht="15.75" customHeight="1">
      <c r="A750" s="6"/>
      <c r="B750" s="6"/>
    </row>
    <row r="751" ht="15.75" customHeight="1">
      <c r="A751" s="6"/>
      <c r="B751" s="6"/>
    </row>
    <row r="752" ht="15.75" customHeight="1">
      <c r="A752" s="6"/>
      <c r="B752" s="6"/>
    </row>
    <row r="753" ht="15.75" customHeight="1">
      <c r="A753" s="6"/>
      <c r="B753" s="6"/>
    </row>
    <row r="754" ht="15.75" customHeight="1">
      <c r="A754" s="6"/>
      <c r="B754" s="6"/>
    </row>
    <row r="755" ht="15.75" customHeight="1">
      <c r="A755" s="6"/>
      <c r="B755" s="6"/>
    </row>
    <row r="756" ht="15.75" customHeight="1">
      <c r="A756" s="6"/>
      <c r="B756" s="6"/>
    </row>
    <row r="757" ht="15.75" customHeight="1">
      <c r="A757" s="6"/>
      <c r="B757" s="6"/>
    </row>
    <row r="758" ht="15.75" customHeight="1">
      <c r="A758" s="6"/>
      <c r="B758" s="6"/>
    </row>
    <row r="759" ht="15.75" customHeight="1">
      <c r="A759" s="6"/>
      <c r="B759" s="6"/>
    </row>
    <row r="760" ht="15.75" customHeight="1">
      <c r="A760" s="6"/>
      <c r="B760" s="6"/>
    </row>
    <row r="761" ht="15.75" customHeight="1">
      <c r="A761" s="6"/>
      <c r="B761" s="6"/>
    </row>
    <row r="762" ht="15.75" customHeight="1">
      <c r="A762" s="6"/>
      <c r="B762" s="6"/>
    </row>
    <row r="763" ht="15.75" customHeight="1">
      <c r="A763" s="6"/>
      <c r="B763" s="6"/>
    </row>
    <row r="764" ht="15.75" customHeight="1">
      <c r="A764" s="6"/>
      <c r="B764" s="6"/>
    </row>
    <row r="765" ht="15.75" customHeight="1">
      <c r="A765" s="6"/>
      <c r="B765" s="6"/>
    </row>
    <row r="766" ht="15.75" customHeight="1">
      <c r="A766" s="6"/>
      <c r="B766" s="6"/>
    </row>
    <row r="767" ht="15.75" customHeight="1">
      <c r="A767" s="6"/>
      <c r="B767" s="6"/>
    </row>
    <row r="768" ht="15.75" customHeight="1">
      <c r="A768" s="6"/>
      <c r="B768" s="6"/>
    </row>
    <row r="769" ht="15.75" customHeight="1">
      <c r="A769" s="6"/>
      <c r="B769" s="6"/>
    </row>
    <row r="770" ht="15.75" customHeight="1">
      <c r="A770" s="6"/>
      <c r="B770" s="6"/>
    </row>
    <row r="771" ht="15.75" customHeight="1">
      <c r="A771" s="6"/>
      <c r="B771" s="6"/>
    </row>
    <row r="772" ht="15.75" customHeight="1">
      <c r="A772" s="6"/>
      <c r="B772" s="6"/>
    </row>
    <row r="773" ht="15.75" customHeight="1">
      <c r="A773" s="6"/>
      <c r="B773" s="6"/>
    </row>
    <row r="774" ht="15.75" customHeight="1">
      <c r="A774" s="6"/>
      <c r="B774" s="6"/>
    </row>
    <row r="775" ht="15.75" customHeight="1">
      <c r="A775" s="6"/>
      <c r="B775" s="6"/>
    </row>
    <row r="776" ht="15.75" customHeight="1">
      <c r="A776" s="6"/>
      <c r="B776" s="6"/>
    </row>
    <row r="777" ht="15.75" customHeight="1">
      <c r="A777" s="6"/>
      <c r="B777" s="6"/>
    </row>
    <row r="778" ht="15.75" customHeight="1">
      <c r="A778" s="6"/>
      <c r="B778" s="6"/>
    </row>
    <row r="779" ht="15.75" customHeight="1">
      <c r="A779" s="6"/>
      <c r="B779" s="6"/>
    </row>
    <row r="780" ht="15.75" customHeight="1">
      <c r="A780" s="6"/>
      <c r="B780" s="6"/>
    </row>
    <row r="781" ht="15.75" customHeight="1">
      <c r="A781" s="6"/>
      <c r="B781" s="6"/>
    </row>
    <row r="782" ht="15.75" customHeight="1">
      <c r="A782" s="6"/>
      <c r="B782" s="6"/>
    </row>
    <row r="783" ht="15.75" customHeight="1">
      <c r="A783" s="6"/>
      <c r="B783" s="6"/>
    </row>
    <row r="784" ht="15.75" customHeight="1">
      <c r="A784" s="6"/>
      <c r="B784" s="6"/>
    </row>
    <row r="785" ht="15.75" customHeight="1">
      <c r="A785" s="6"/>
      <c r="B785" s="6"/>
    </row>
    <row r="786" ht="15.75" customHeight="1">
      <c r="A786" s="6"/>
      <c r="B786" s="6"/>
    </row>
    <row r="787" ht="15.75" customHeight="1">
      <c r="A787" s="6"/>
      <c r="B787" s="6"/>
    </row>
    <row r="788" ht="15.75" customHeight="1">
      <c r="A788" s="6"/>
      <c r="B788" s="6"/>
    </row>
    <row r="789" ht="15.75" customHeight="1">
      <c r="A789" s="6"/>
      <c r="B789" s="6"/>
    </row>
    <row r="790" ht="15.75" customHeight="1">
      <c r="A790" s="6"/>
      <c r="B790" s="6"/>
    </row>
    <row r="791" ht="15.75" customHeight="1">
      <c r="A791" s="6"/>
      <c r="B791" s="6"/>
    </row>
    <row r="792" ht="15.75" customHeight="1">
      <c r="A792" s="6"/>
      <c r="B792" s="6"/>
    </row>
    <row r="793" ht="15.75" customHeight="1">
      <c r="A793" s="6"/>
      <c r="B793" s="6"/>
    </row>
    <row r="794" ht="15.75" customHeight="1">
      <c r="A794" s="6"/>
      <c r="B794" s="6"/>
    </row>
    <row r="795" ht="15.75" customHeight="1">
      <c r="A795" s="6"/>
      <c r="B795" s="6"/>
    </row>
    <row r="796" ht="15.75" customHeight="1">
      <c r="A796" s="6"/>
      <c r="B796" s="6"/>
    </row>
    <row r="797" ht="15.75" customHeight="1">
      <c r="A797" s="6"/>
      <c r="B797" s="6"/>
    </row>
    <row r="798" ht="15.75" customHeight="1">
      <c r="A798" s="6"/>
      <c r="B798" s="6"/>
    </row>
    <row r="799" ht="15.75" customHeight="1">
      <c r="A799" s="6"/>
      <c r="B799" s="6"/>
    </row>
    <row r="800" ht="15.75" customHeight="1">
      <c r="A800" s="6"/>
      <c r="B800" s="6"/>
    </row>
    <row r="801" ht="15.75" customHeight="1">
      <c r="A801" s="6"/>
      <c r="B801" s="6"/>
    </row>
    <row r="802" ht="15.75" customHeight="1">
      <c r="A802" s="6"/>
      <c r="B802" s="6"/>
    </row>
    <row r="803" ht="15.75" customHeight="1">
      <c r="A803" s="6"/>
      <c r="B803" s="6"/>
    </row>
    <row r="804" ht="15.75" customHeight="1">
      <c r="A804" s="6"/>
      <c r="B804" s="6"/>
    </row>
    <row r="805" ht="15.75" customHeight="1">
      <c r="A805" s="6"/>
      <c r="B805" s="6"/>
    </row>
    <row r="806" ht="15.75" customHeight="1">
      <c r="A806" s="6"/>
      <c r="B806" s="6"/>
    </row>
    <row r="807" ht="15.75" customHeight="1">
      <c r="A807" s="6"/>
      <c r="B807" s="6"/>
    </row>
    <row r="808" ht="15.75" customHeight="1">
      <c r="A808" s="6"/>
      <c r="B808" s="6"/>
    </row>
    <row r="809" ht="15.75" customHeight="1">
      <c r="A809" s="6"/>
      <c r="B809" s="6"/>
    </row>
    <row r="810" ht="15.75" customHeight="1">
      <c r="A810" s="6"/>
      <c r="B810" s="6"/>
    </row>
    <row r="811" ht="15.75" customHeight="1">
      <c r="A811" s="6"/>
      <c r="B811" s="6"/>
    </row>
    <row r="812" ht="15.75" customHeight="1">
      <c r="A812" s="6"/>
      <c r="B812" s="6"/>
    </row>
    <row r="813" ht="15.75" customHeight="1">
      <c r="A813" s="6"/>
      <c r="B813" s="6"/>
    </row>
    <row r="814" ht="15.75" customHeight="1">
      <c r="A814" s="6"/>
      <c r="B814" s="6"/>
    </row>
    <row r="815" ht="15.75" customHeight="1">
      <c r="A815" s="6"/>
      <c r="B815" s="6"/>
    </row>
    <row r="816" ht="15.75" customHeight="1">
      <c r="A816" s="6"/>
      <c r="B816" s="6"/>
    </row>
    <row r="817" ht="15.75" customHeight="1">
      <c r="A817" s="6"/>
      <c r="B817" s="6"/>
    </row>
    <row r="818" ht="15.75" customHeight="1">
      <c r="A818" s="6"/>
      <c r="B818" s="6"/>
    </row>
    <row r="819" ht="15.75" customHeight="1">
      <c r="A819" s="6"/>
      <c r="B819" s="6"/>
    </row>
    <row r="820" ht="15.75" customHeight="1">
      <c r="A820" s="6"/>
      <c r="B820" s="6"/>
    </row>
    <row r="821" ht="15.75" customHeight="1">
      <c r="A821" s="6"/>
      <c r="B821" s="6"/>
    </row>
    <row r="822" ht="15.75" customHeight="1">
      <c r="A822" s="6"/>
      <c r="B822" s="6"/>
    </row>
    <row r="823" ht="15.75" customHeight="1">
      <c r="A823" s="6"/>
      <c r="B823" s="6"/>
    </row>
    <row r="824" ht="15.75" customHeight="1">
      <c r="A824" s="6"/>
      <c r="B824" s="6"/>
    </row>
    <row r="825" ht="15.75" customHeight="1">
      <c r="A825" s="6"/>
      <c r="B825" s="6"/>
    </row>
    <row r="826" ht="15.75" customHeight="1">
      <c r="A826" s="6"/>
      <c r="B826" s="6"/>
    </row>
    <row r="827" ht="15.75" customHeight="1">
      <c r="A827" s="6"/>
      <c r="B827" s="6"/>
    </row>
    <row r="828" ht="15.75" customHeight="1">
      <c r="A828" s="6"/>
      <c r="B828" s="6"/>
    </row>
    <row r="829" ht="15.75" customHeight="1">
      <c r="A829" s="6"/>
      <c r="B829" s="6"/>
    </row>
    <row r="830" ht="15.75" customHeight="1">
      <c r="A830" s="6"/>
      <c r="B830" s="6"/>
    </row>
    <row r="831" ht="15.75" customHeight="1">
      <c r="A831" s="6"/>
      <c r="B831" s="6"/>
    </row>
    <row r="832" ht="15.75" customHeight="1">
      <c r="A832" s="6"/>
      <c r="B832" s="6"/>
    </row>
    <row r="833" ht="15.75" customHeight="1">
      <c r="A833" s="6"/>
      <c r="B833" s="6"/>
    </row>
    <row r="834" ht="15.75" customHeight="1">
      <c r="A834" s="6"/>
      <c r="B834" s="6"/>
    </row>
    <row r="835" ht="15.75" customHeight="1">
      <c r="A835" s="6"/>
      <c r="B835" s="6"/>
    </row>
    <row r="836" ht="15.75" customHeight="1">
      <c r="A836" s="6"/>
      <c r="B836" s="6"/>
    </row>
    <row r="837" ht="15.75" customHeight="1">
      <c r="A837" s="6"/>
      <c r="B837" s="6"/>
    </row>
    <row r="838" ht="15.75" customHeight="1">
      <c r="A838" s="6"/>
      <c r="B838" s="6"/>
    </row>
    <row r="839" ht="15.75" customHeight="1">
      <c r="A839" s="6"/>
      <c r="B839" s="6"/>
    </row>
    <row r="840" ht="15.75" customHeight="1">
      <c r="A840" s="6"/>
      <c r="B840" s="6"/>
    </row>
    <row r="841" ht="15.75" customHeight="1">
      <c r="A841" s="6"/>
      <c r="B841" s="6"/>
    </row>
    <row r="842" ht="15.75" customHeight="1">
      <c r="A842" s="6"/>
      <c r="B842" s="6"/>
    </row>
    <row r="843" ht="15.75" customHeight="1">
      <c r="A843" s="6"/>
      <c r="B843" s="6"/>
    </row>
    <row r="844" ht="15.75" customHeight="1">
      <c r="A844" s="6"/>
      <c r="B844" s="6"/>
    </row>
    <row r="845" ht="15.75" customHeight="1">
      <c r="A845" s="6"/>
      <c r="B845" s="6"/>
    </row>
    <row r="846" ht="15.75" customHeight="1">
      <c r="A846" s="6"/>
      <c r="B846" s="6"/>
    </row>
    <row r="847" ht="15.75" customHeight="1">
      <c r="A847" s="6"/>
      <c r="B847" s="6"/>
    </row>
    <row r="848" ht="15.75" customHeight="1">
      <c r="A848" s="6"/>
      <c r="B848" s="6"/>
    </row>
    <row r="849" ht="15.75" customHeight="1">
      <c r="A849" s="6"/>
      <c r="B849" s="6"/>
    </row>
    <row r="850" ht="15.75" customHeight="1">
      <c r="A850" s="6"/>
      <c r="B850" s="6"/>
    </row>
    <row r="851" ht="15.75" customHeight="1">
      <c r="A851" s="6"/>
      <c r="B851" s="6"/>
    </row>
    <row r="852" ht="15.75" customHeight="1">
      <c r="A852" s="6"/>
      <c r="B852" s="6"/>
    </row>
    <row r="853" ht="15.75" customHeight="1">
      <c r="A853" s="6"/>
      <c r="B853" s="6"/>
    </row>
    <row r="854" ht="15.75" customHeight="1">
      <c r="A854" s="6"/>
      <c r="B854" s="6"/>
    </row>
    <row r="855" ht="15.75" customHeight="1">
      <c r="A855" s="6"/>
      <c r="B855" s="6"/>
    </row>
    <row r="856" ht="15.75" customHeight="1">
      <c r="A856" s="6"/>
      <c r="B856" s="6"/>
    </row>
    <row r="857" ht="15.75" customHeight="1">
      <c r="A857" s="6"/>
      <c r="B857" s="6"/>
    </row>
    <row r="858" ht="15.75" customHeight="1">
      <c r="A858" s="6"/>
      <c r="B858" s="6"/>
    </row>
    <row r="859" ht="15.75" customHeight="1">
      <c r="A859" s="6"/>
      <c r="B859" s="6"/>
    </row>
    <row r="860" ht="15.75" customHeight="1">
      <c r="A860" s="6"/>
      <c r="B860" s="6"/>
    </row>
    <row r="861" ht="15.75" customHeight="1">
      <c r="A861" s="6"/>
      <c r="B861" s="6"/>
    </row>
    <row r="862" ht="15.75" customHeight="1">
      <c r="A862" s="6"/>
      <c r="B862" s="6"/>
    </row>
    <row r="863" ht="15.75" customHeight="1">
      <c r="A863" s="6"/>
      <c r="B863" s="6"/>
    </row>
    <row r="864" ht="15.75" customHeight="1">
      <c r="A864" s="6"/>
      <c r="B864" s="6"/>
    </row>
    <row r="865" ht="15.75" customHeight="1">
      <c r="A865" s="6"/>
      <c r="B865" s="6"/>
    </row>
    <row r="866" ht="15.75" customHeight="1">
      <c r="A866" s="6"/>
      <c r="B866" s="6"/>
    </row>
    <row r="867" ht="15.75" customHeight="1">
      <c r="A867" s="6"/>
      <c r="B867" s="6"/>
    </row>
    <row r="868" ht="15.75" customHeight="1">
      <c r="A868" s="6"/>
      <c r="B868" s="6"/>
    </row>
    <row r="869" ht="15.75" customHeight="1">
      <c r="A869" s="6"/>
      <c r="B869" s="6"/>
    </row>
    <row r="870" ht="15.75" customHeight="1">
      <c r="A870" s="6"/>
      <c r="B870" s="6"/>
    </row>
    <row r="871" ht="15.75" customHeight="1">
      <c r="A871" s="6"/>
      <c r="B871" s="6"/>
    </row>
    <row r="872" ht="15.75" customHeight="1">
      <c r="A872" s="6"/>
      <c r="B872" s="6"/>
    </row>
    <row r="873" ht="15.75" customHeight="1">
      <c r="A873" s="6"/>
      <c r="B873" s="6"/>
    </row>
    <row r="874" ht="15.75" customHeight="1">
      <c r="A874" s="6"/>
      <c r="B874" s="6"/>
    </row>
    <row r="875" ht="15.75" customHeight="1">
      <c r="A875" s="6"/>
      <c r="B875" s="6"/>
    </row>
    <row r="876" ht="15.75" customHeight="1">
      <c r="A876" s="6"/>
      <c r="B876" s="6"/>
    </row>
    <row r="877" ht="15.75" customHeight="1">
      <c r="A877" s="6"/>
      <c r="B877" s="6"/>
    </row>
    <row r="878" ht="15.75" customHeight="1">
      <c r="A878" s="6"/>
      <c r="B878" s="6"/>
    </row>
    <row r="879" ht="15.75" customHeight="1">
      <c r="A879" s="6"/>
      <c r="B879" s="6"/>
    </row>
    <row r="880" ht="15.75" customHeight="1">
      <c r="A880" s="6"/>
      <c r="B880" s="6"/>
    </row>
    <row r="881" ht="15.75" customHeight="1">
      <c r="A881" s="6"/>
      <c r="B881" s="6"/>
    </row>
    <row r="882" ht="15.75" customHeight="1">
      <c r="A882" s="6"/>
      <c r="B882" s="6"/>
    </row>
    <row r="883" ht="15.75" customHeight="1">
      <c r="A883" s="6"/>
      <c r="B883" s="6"/>
    </row>
    <row r="884" ht="15.75" customHeight="1">
      <c r="A884" s="6"/>
      <c r="B884" s="6"/>
    </row>
    <row r="885" ht="15.75" customHeight="1">
      <c r="A885" s="6"/>
      <c r="B885" s="6"/>
    </row>
    <row r="886" ht="15.75" customHeight="1">
      <c r="A886" s="6"/>
      <c r="B886" s="6"/>
    </row>
    <row r="887" ht="15.75" customHeight="1">
      <c r="A887" s="6"/>
      <c r="B887" s="6"/>
    </row>
    <row r="888" ht="15.75" customHeight="1">
      <c r="A888" s="6"/>
      <c r="B888" s="6"/>
    </row>
    <row r="889" ht="15.75" customHeight="1">
      <c r="A889" s="6"/>
      <c r="B889" s="6"/>
    </row>
    <row r="890" ht="15.75" customHeight="1">
      <c r="A890" s="6"/>
      <c r="B890" s="6"/>
    </row>
    <row r="891" ht="15.75" customHeight="1">
      <c r="A891" s="6"/>
      <c r="B891" s="6"/>
    </row>
    <row r="892" ht="15.75" customHeight="1">
      <c r="A892" s="6"/>
      <c r="B892" s="6"/>
    </row>
    <row r="893" ht="15.75" customHeight="1">
      <c r="A893" s="6"/>
      <c r="B893" s="6"/>
    </row>
    <row r="894" ht="15.75" customHeight="1">
      <c r="A894" s="6"/>
      <c r="B894" s="6"/>
    </row>
    <row r="895" ht="15.75" customHeight="1">
      <c r="A895" s="6"/>
      <c r="B895" s="6"/>
    </row>
    <row r="896" ht="15.75" customHeight="1">
      <c r="A896" s="6"/>
      <c r="B896" s="6"/>
    </row>
    <row r="897" ht="15.75" customHeight="1">
      <c r="A897" s="6"/>
      <c r="B897" s="6"/>
    </row>
    <row r="898" ht="15.75" customHeight="1">
      <c r="A898" s="6"/>
      <c r="B898" s="6"/>
    </row>
    <row r="899" ht="15.75" customHeight="1">
      <c r="A899" s="6"/>
      <c r="B899" s="6"/>
    </row>
    <row r="900" ht="15.75" customHeight="1">
      <c r="A900" s="6"/>
      <c r="B900" s="6"/>
    </row>
    <row r="901" ht="15.75" customHeight="1">
      <c r="A901" s="6"/>
      <c r="B901" s="6"/>
    </row>
    <row r="902" ht="15.75" customHeight="1">
      <c r="A902" s="6"/>
      <c r="B902" s="6"/>
    </row>
    <row r="903" ht="15.75" customHeight="1">
      <c r="A903" s="6"/>
      <c r="B903" s="6"/>
    </row>
    <row r="904" ht="15.75" customHeight="1">
      <c r="A904" s="6"/>
      <c r="B904" s="6"/>
    </row>
    <row r="905" ht="15.75" customHeight="1">
      <c r="A905" s="6"/>
      <c r="B905" s="6"/>
    </row>
    <row r="906" ht="15.75" customHeight="1">
      <c r="A906" s="6"/>
      <c r="B906" s="6"/>
    </row>
    <row r="907" ht="15.75" customHeight="1">
      <c r="A907" s="6"/>
      <c r="B907" s="6"/>
    </row>
    <row r="908" ht="15.75" customHeight="1">
      <c r="A908" s="6"/>
      <c r="B908" s="6"/>
    </row>
    <row r="909" ht="15.75" customHeight="1">
      <c r="A909" s="6"/>
      <c r="B909" s="6"/>
    </row>
    <row r="910" ht="15.75" customHeight="1">
      <c r="A910" s="6"/>
      <c r="B910" s="6"/>
    </row>
    <row r="911" ht="15.75" customHeight="1">
      <c r="A911" s="6"/>
      <c r="B911" s="6"/>
    </row>
    <row r="912" ht="15.75" customHeight="1">
      <c r="A912" s="6"/>
      <c r="B912" s="6"/>
    </row>
    <row r="913" ht="15.75" customHeight="1">
      <c r="A913" s="6"/>
      <c r="B913" s="6"/>
    </row>
    <row r="914" ht="15.75" customHeight="1">
      <c r="A914" s="6"/>
      <c r="B914" s="6"/>
    </row>
    <row r="915" ht="15.75" customHeight="1">
      <c r="A915" s="6"/>
      <c r="B915" s="6"/>
    </row>
    <row r="916" ht="15.75" customHeight="1">
      <c r="A916" s="6"/>
      <c r="B916" s="6"/>
    </row>
    <row r="917" ht="15.75" customHeight="1">
      <c r="A917" s="6"/>
      <c r="B917" s="6"/>
    </row>
    <row r="918" ht="15.75" customHeight="1">
      <c r="A918" s="6"/>
      <c r="B918" s="6"/>
    </row>
    <row r="919" ht="15.75" customHeight="1">
      <c r="A919" s="6"/>
      <c r="B919" s="6"/>
    </row>
    <row r="920" ht="15.75" customHeight="1">
      <c r="A920" s="6"/>
      <c r="B920" s="6"/>
    </row>
    <row r="921" ht="15.75" customHeight="1">
      <c r="A921" s="6"/>
      <c r="B921" s="6"/>
    </row>
    <row r="922" ht="15.75" customHeight="1">
      <c r="A922" s="6"/>
      <c r="B922" s="6"/>
    </row>
    <row r="923" ht="15.75" customHeight="1">
      <c r="A923" s="6"/>
      <c r="B923" s="6"/>
    </row>
    <row r="924" ht="15.75" customHeight="1">
      <c r="A924" s="6"/>
      <c r="B924" s="6"/>
    </row>
    <row r="925" ht="15.75" customHeight="1">
      <c r="A925" s="6"/>
      <c r="B925" s="6"/>
    </row>
    <row r="926" ht="15.75" customHeight="1">
      <c r="A926" s="6"/>
      <c r="B926" s="6"/>
    </row>
    <row r="927" ht="15.75" customHeight="1">
      <c r="A927" s="6"/>
      <c r="B927" s="6"/>
    </row>
    <row r="928" ht="15.75" customHeight="1">
      <c r="A928" s="6"/>
      <c r="B928" s="6"/>
    </row>
    <row r="929" ht="15.75" customHeight="1">
      <c r="A929" s="6"/>
      <c r="B929" s="6"/>
    </row>
    <row r="930" ht="15.75" customHeight="1">
      <c r="A930" s="6"/>
      <c r="B930" s="6"/>
    </row>
    <row r="931" ht="15.75" customHeight="1">
      <c r="A931" s="6"/>
      <c r="B931" s="6"/>
    </row>
    <row r="932" ht="15.75" customHeight="1">
      <c r="A932" s="6"/>
      <c r="B932" s="6"/>
    </row>
    <row r="933" ht="15.75" customHeight="1">
      <c r="A933" s="6"/>
      <c r="B933" s="6"/>
    </row>
    <row r="934" ht="15.75" customHeight="1">
      <c r="A934" s="6"/>
      <c r="B934" s="6"/>
    </row>
    <row r="935" ht="15.75" customHeight="1">
      <c r="A935" s="6"/>
      <c r="B935" s="6"/>
    </row>
    <row r="936" ht="15.75" customHeight="1">
      <c r="A936" s="6"/>
      <c r="B936" s="6"/>
    </row>
    <row r="937" ht="15.75" customHeight="1">
      <c r="A937" s="6"/>
      <c r="B937" s="6"/>
    </row>
    <row r="938" ht="15.75" customHeight="1">
      <c r="A938" s="6"/>
      <c r="B938" s="6"/>
    </row>
    <row r="939" ht="15.75" customHeight="1">
      <c r="A939" s="6"/>
      <c r="B939" s="6"/>
    </row>
    <row r="940" ht="15.75" customHeight="1">
      <c r="A940" s="6"/>
      <c r="B940" s="6"/>
    </row>
    <row r="941" ht="15.75" customHeight="1">
      <c r="A941" s="6"/>
      <c r="B941" s="6"/>
    </row>
    <row r="942" ht="15.75" customHeight="1">
      <c r="A942" s="6"/>
      <c r="B942" s="6"/>
    </row>
    <row r="943" ht="15.75" customHeight="1">
      <c r="A943" s="6"/>
      <c r="B943" s="6"/>
    </row>
    <row r="944" ht="15.75" customHeight="1">
      <c r="A944" s="6"/>
      <c r="B944" s="6"/>
    </row>
    <row r="945" ht="15.75" customHeight="1">
      <c r="A945" s="6"/>
      <c r="B945" s="6"/>
    </row>
    <row r="946" ht="15.75" customHeight="1">
      <c r="A946" s="6"/>
      <c r="B946" s="6"/>
    </row>
    <row r="947" ht="15.75" customHeight="1">
      <c r="A947" s="6"/>
      <c r="B947" s="6"/>
    </row>
    <row r="948" ht="15.75" customHeight="1">
      <c r="A948" s="6"/>
      <c r="B948" s="6"/>
    </row>
    <row r="949" ht="15.75" customHeight="1">
      <c r="A949" s="6"/>
      <c r="B949" s="6"/>
    </row>
    <row r="950" ht="15.75" customHeight="1">
      <c r="A950" s="6"/>
      <c r="B950" s="6"/>
    </row>
    <row r="951" ht="15.75" customHeight="1">
      <c r="A951" s="6"/>
      <c r="B951" s="6"/>
    </row>
    <row r="952" ht="15.75" customHeight="1">
      <c r="A952" s="6"/>
      <c r="B952" s="6"/>
    </row>
    <row r="953" ht="15.75" customHeight="1">
      <c r="A953" s="6"/>
      <c r="B953" s="6"/>
    </row>
    <row r="954" ht="15.75" customHeight="1">
      <c r="A954" s="6"/>
      <c r="B954" s="6"/>
    </row>
    <row r="955" ht="15.75" customHeight="1">
      <c r="A955" s="6"/>
      <c r="B955" s="6"/>
    </row>
    <row r="956" ht="15.75" customHeight="1">
      <c r="A956" s="6"/>
      <c r="B956" s="6"/>
    </row>
    <row r="957" ht="15.75" customHeight="1">
      <c r="A957" s="6"/>
      <c r="B957" s="6"/>
    </row>
    <row r="958" ht="15.75" customHeight="1">
      <c r="A958" s="6"/>
      <c r="B958" s="6"/>
    </row>
    <row r="959" ht="15.75" customHeight="1">
      <c r="A959" s="6"/>
      <c r="B959" s="6"/>
    </row>
    <row r="960" ht="15.75" customHeight="1">
      <c r="A960" s="6"/>
      <c r="B960" s="6"/>
    </row>
    <row r="961" ht="15.75" customHeight="1">
      <c r="A961" s="6"/>
      <c r="B961" s="6"/>
    </row>
    <row r="962" ht="15.75" customHeight="1">
      <c r="A962" s="6"/>
      <c r="B962" s="6"/>
    </row>
    <row r="963" ht="15.75" customHeight="1">
      <c r="A963" s="6"/>
      <c r="B963" s="6"/>
    </row>
    <row r="964" ht="15.75" customHeight="1">
      <c r="A964" s="6"/>
      <c r="B964" s="6"/>
    </row>
    <row r="965" ht="15.75" customHeight="1">
      <c r="A965" s="6"/>
      <c r="B965" s="6"/>
    </row>
    <row r="966" ht="15.75" customHeight="1">
      <c r="A966" s="6"/>
      <c r="B966" s="6"/>
    </row>
    <row r="967" ht="15.75" customHeight="1">
      <c r="A967" s="6"/>
      <c r="B967" s="6"/>
    </row>
    <row r="968" ht="15.75" customHeight="1">
      <c r="A968" s="6"/>
      <c r="B968" s="6"/>
    </row>
    <row r="969" ht="15.75" customHeight="1">
      <c r="A969" s="6"/>
      <c r="B969" s="6"/>
    </row>
    <row r="970" ht="15.75" customHeight="1">
      <c r="A970" s="6"/>
      <c r="B970" s="6"/>
    </row>
    <row r="971" ht="15.75" customHeight="1">
      <c r="A971" s="6"/>
      <c r="B971" s="6"/>
    </row>
    <row r="972" ht="15.75" customHeight="1">
      <c r="A972" s="6"/>
      <c r="B972" s="6"/>
    </row>
    <row r="973" ht="15.75" customHeight="1">
      <c r="A973" s="6"/>
      <c r="B973" s="6"/>
    </row>
    <row r="974" ht="15.75" customHeight="1">
      <c r="A974" s="6"/>
      <c r="B974" s="6"/>
    </row>
    <row r="975" ht="15.75" customHeight="1">
      <c r="A975" s="6"/>
      <c r="B975" s="6"/>
    </row>
    <row r="976" ht="15.75" customHeight="1">
      <c r="A976" s="6"/>
      <c r="B976" s="6"/>
    </row>
    <row r="977" ht="15.75" customHeight="1">
      <c r="A977" s="6"/>
      <c r="B977" s="6"/>
    </row>
    <row r="978" ht="15.75" customHeight="1">
      <c r="A978" s="6"/>
      <c r="B978" s="6"/>
    </row>
    <row r="979" ht="15.75" customHeight="1">
      <c r="A979" s="6"/>
      <c r="B979" s="6"/>
    </row>
    <row r="980" ht="15.75" customHeight="1">
      <c r="A980" s="6"/>
      <c r="B980" s="6"/>
    </row>
    <row r="981" ht="15.75" customHeight="1">
      <c r="A981" s="6"/>
      <c r="B981" s="6"/>
    </row>
    <row r="982" ht="15.75" customHeight="1">
      <c r="A982" s="6"/>
      <c r="B982" s="6"/>
    </row>
    <row r="983" ht="15.75" customHeight="1">
      <c r="A983" s="6"/>
      <c r="B983" s="6"/>
    </row>
    <row r="984" ht="15.75" customHeight="1">
      <c r="A984" s="6"/>
      <c r="B984" s="6"/>
    </row>
    <row r="985" ht="15.75" customHeight="1">
      <c r="A985" s="6"/>
      <c r="B985" s="6"/>
    </row>
    <row r="986" ht="15.75" customHeight="1">
      <c r="A986" s="6"/>
      <c r="B986" s="6"/>
    </row>
    <row r="987" ht="15.75" customHeight="1">
      <c r="A987" s="6"/>
      <c r="B987" s="6"/>
    </row>
    <row r="988" ht="15.75" customHeight="1">
      <c r="A988" s="6"/>
      <c r="B988" s="6"/>
    </row>
    <row r="989" ht="15.75" customHeight="1">
      <c r="A989" s="6"/>
      <c r="B989" s="6"/>
    </row>
    <row r="990" ht="15.75" customHeight="1">
      <c r="A990" s="6"/>
      <c r="B990" s="6"/>
    </row>
    <row r="991" ht="15.75" customHeight="1">
      <c r="A991" s="6"/>
      <c r="B991" s="6"/>
    </row>
    <row r="992" ht="15.75" customHeight="1">
      <c r="A992" s="6"/>
      <c r="B992" s="6"/>
    </row>
    <row r="993" ht="15.75" customHeight="1">
      <c r="A993" s="6"/>
      <c r="B993" s="6"/>
    </row>
    <row r="994" ht="15.75" customHeight="1">
      <c r="A994" s="6"/>
      <c r="B994" s="6"/>
    </row>
    <row r="995" ht="15.75" customHeight="1">
      <c r="A995" s="6"/>
      <c r="B995" s="6"/>
    </row>
    <row r="996" ht="15.75" customHeight="1">
      <c r="A996" s="6"/>
      <c r="B996" s="6"/>
    </row>
    <row r="997" ht="15.75" customHeight="1">
      <c r="A997" s="6"/>
      <c r="B997" s="6"/>
    </row>
    <row r="998" ht="15.75" customHeight="1">
      <c r="A998" s="6"/>
      <c r="B998" s="6"/>
    </row>
    <row r="999" ht="15.75" customHeight="1">
      <c r="A999" s="6"/>
      <c r="B999" s="6"/>
    </row>
    <row r="1000" ht="15.75" customHeight="1">
      <c r="A1000" s="6"/>
      <c r="B1000" s="6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90.0"/>
    <col customWidth="1" min="3" max="3" width="16.0"/>
    <col customWidth="1" min="4" max="4" width="70.0"/>
    <col customWidth="1" min="5" max="26" width="8.71"/>
  </cols>
  <sheetData>
    <row r="1" ht="15.0" customHeight="1">
      <c r="A1" s="1" t="s">
        <v>3</v>
      </c>
      <c r="B1" s="1" t="s">
        <v>504</v>
      </c>
      <c r="C1" s="1" t="s">
        <v>505</v>
      </c>
      <c r="D1" s="1" t="s">
        <v>506</v>
      </c>
    </row>
    <row r="2" ht="15.0" customHeight="1">
      <c r="A2" s="6" t="s">
        <v>9</v>
      </c>
      <c r="B2" s="40" t="s">
        <v>81</v>
      </c>
      <c r="C2" s="6" t="s">
        <v>94</v>
      </c>
      <c r="D2" s="15" t="s">
        <v>78</v>
      </c>
    </row>
    <row r="3" ht="15.0" customHeight="1">
      <c r="A3" s="6" t="s">
        <v>38</v>
      </c>
      <c r="B3" s="40" t="s">
        <v>110</v>
      </c>
      <c r="C3" s="6" t="s">
        <v>94</v>
      </c>
      <c r="D3" s="15" t="s">
        <v>108</v>
      </c>
    </row>
    <row r="4" ht="15.0" customHeight="1">
      <c r="A4" s="6" t="s">
        <v>53</v>
      </c>
      <c r="B4" s="40" t="s">
        <v>124</v>
      </c>
      <c r="C4" s="6" t="s">
        <v>94</v>
      </c>
      <c r="D4" s="15" t="s">
        <v>123</v>
      </c>
    </row>
    <row r="5" ht="15.0" customHeight="1">
      <c r="A5" s="6" t="s">
        <v>60</v>
      </c>
      <c r="B5" s="40" t="s">
        <v>137</v>
      </c>
      <c r="C5" s="6" t="s">
        <v>94</v>
      </c>
      <c r="D5" s="15" t="s">
        <v>135</v>
      </c>
    </row>
    <row r="6" ht="15.0" customHeight="1">
      <c r="A6" s="6" t="s">
        <v>65</v>
      </c>
      <c r="B6" s="40" t="s">
        <v>124</v>
      </c>
      <c r="C6" s="6" t="s">
        <v>148</v>
      </c>
      <c r="D6" s="15" t="s">
        <v>145</v>
      </c>
    </row>
    <row r="7" ht="15.0" customHeight="1">
      <c r="A7" s="6" t="s">
        <v>71</v>
      </c>
      <c r="B7" s="40" t="s">
        <v>152</v>
      </c>
      <c r="C7" s="6" t="s">
        <v>148</v>
      </c>
      <c r="D7" s="15" t="s">
        <v>151</v>
      </c>
    </row>
    <row r="8" ht="15.0" customHeight="1">
      <c r="A8" s="6" t="s">
        <v>77</v>
      </c>
      <c r="B8" s="40" t="s">
        <v>157</v>
      </c>
      <c r="C8" s="6" t="s">
        <v>94</v>
      </c>
      <c r="D8" s="15" t="s">
        <v>156</v>
      </c>
    </row>
    <row r="9" ht="15.0" customHeight="1">
      <c r="A9" s="6" t="s">
        <v>84</v>
      </c>
      <c r="B9" s="40" t="s">
        <v>163</v>
      </c>
      <c r="C9" s="6" t="s">
        <v>94</v>
      </c>
      <c r="D9" s="15" t="s">
        <v>161</v>
      </c>
    </row>
    <row r="10" ht="15.0" customHeight="1">
      <c r="A10" s="6" t="s">
        <v>91</v>
      </c>
      <c r="B10" s="40" t="s">
        <v>171</v>
      </c>
      <c r="C10" s="6" t="s">
        <v>175</v>
      </c>
      <c r="D10" s="15" t="s">
        <v>169</v>
      </c>
    </row>
    <row r="11" ht="15.0" customHeight="1">
      <c r="A11" s="6" t="s">
        <v>93</v>
      </c>
      <c r="B11" s="40" t="s">
        <v>177</v>
      </c>
      <c r="C11" s="6" t="s">
        <v>148</v>
      </c>
      <c r="D11" s="15" t="s">
        <v>176</v>
      </c>
    </row>
    <row r="12" ht="15.0" customHeight="1">
      <c r="A12" s="6" t="s">
        <v>95</v>
      </c>
      <c r="B12" s="40" t="s">
        <v>179</v>
      </c>
      <c r="C12" s="6" t="s">
        <v>94</v>
      </c>
      <c r="D12" s="15" t="s">
        <v>178</v>
      </c>
    </row>
    <row r="13" ht="15.0" customHeight="1">
      <c r="A13" s="6" t="s">
        <v>99</v>
      </c>
      <c r="B13" s="40" t="s">
        <v>181</v>
      </c>
      <c r="C13" s="6" t="s">
        <v>175</v>
      </c>
      <c r="D13" s="15" t="s">
        <v>180</v>
      </c>
    </row>
    <row r="14" ht="15.0" customHeight="1">
      <c r="A14" s="6" t="s">
        <v>101</v>
      </c>
      <c r="B14" s="40" t="s">
        <v>183</v>
      </c>
      <c r="C14" s="6" t="s">
        <v>175</v>
      </c>
      <c r="D14" s="15" t="s">
        <v>182</v>
      </c>
    </row>
    <row r="15" ht="15.0" customHeight="1">
      <c r="A15" s="6" t="s">
        <v>104</v>
      </c>
      <c r="B15" s="40" t="s">
        <v>185</v>
      </c>
      <c r="C15" s="6" t="s">
        <v>175</v>
      </c>
      <c r="D15" s="15" t="s">
        <v>184</v>
      </c>
    </row>
    <row r="16" ht="15.0" customHeight="1">
      <c r="A16" s="6" t="s">
        <v>106</v>
      </c>
      <c r="B16" s="40" t="s">
        <v>188</v>
      </c>
      <c r="C16" s="6" t="s">
        <v>175</v>
      </c>
      <c r="D16" s="15" t="s">
        <v>187</v>
      </c>
    </row>
    <row r="17" ht="15.0" customHeight="1">
      <c r="A17" s="6" t="s">
        <v>109</v>
      </c>
      <c r="B17" s="40" t="s">
        <v>190</v>
      </c>
      <c r="C17" s="6" t="s">
        <v>94</v>
      </c>
      <c r="D17" s="15" t="s">
        <v>108</v>
      </c>
    </row>
    <row r="18" ht="15.0" customHeight="1">
      <c r="A18" s="6" t="s">
        <v>111</v>
      </c>
      <c r="B18" s="40" t="s">
        <v>192</v>
      </c>
      <c r="C18" s="6" t="s">
        <v>175</v>
      </c>
      <c r="D18" s="15" t="s">
        <v>191</v>
      </c>
    </row>
    <row r="19" ht="15.0" customHeight="1">
      <c r="A19" s="6" t="s">
        <v>113</v>
      </c>
      <c r="B19" s="40" t="s">
        <v>194</v>
      </c>
      <c r="C19" s="6" t="s">
        <v>175</v>
      </c>
      <c r="D19" s="15" t="s">
        <v>193</v>
      </c>
    </row>
    <row r="20" ht="15.0" customHeight="1">
      <c r="A20" s="6" t="s">
        <v>116</v>
      </c>
      <c r="B20" s="40" t="s">
        <v>196</v>
      </c>
      <c r="C20" s="6" t="s">
        <v>94</v>
      </c>
      <c r="D20" s="15" t="s">
        <v>195</v>
      </c>
    </row>
    <row r="21" ht="15.0" customHeight="1">
      <c r="A21" s="6" t="s">
        <v>118</v>
      </c>
      <c r="B21" s="40" t="s">
        <v>198</v>
      </c>
      <c r="C21" s="6" t="s">
        <v>175</v>
      </c>
      <c r="D21" s="15" t="s">
        <v>197</v>
      </c>
    </row>
    <row r="22" ht="15.0" customHeight="1">
      <c r="A22" s="6" t="s">
        <v>120</v>
      </c>
      <c r="B22" s="40" t="s">
        <v>200</v>
      </c>
      <c r="C22" s="6" t="s">
        <v>175</v>
      </c>
      <c r="D22" s="15" t="s">
        <v>199</v>
      </c>
    </row>
    <row r="23" ht="15.0" customHeight="1">
      <c r="A23" s="6" t="s">
        <v>125</v>
      </c>
      <c r="B23" s="40" t="s">
        <v>202</v>
      </c>
      <c r="C23" s="6" t="s">
        <v>94</v>
      </c>
      <c r="D23" s="15" t="s">
        <v>201</v>
      </c>
    </row>
    <row r="24" ht="15.0" customHeight="1">
      <c r="A24" s="6" t="s">
        <v>127</v>
      </c>
      <c r="B24" s="40" t="s">
        <v>204</v>
      </c>
      <c r="C24" s="6" t="s">
        <v>94</v>
      </c>
      <c r="D24" s="15" t="s">
        <v>203</v>
      </c>
    </row>
    <row r="25" ht="15.0" customHeight="1">
      <c r="A25" s="6" t="s">
        <v>129</v>
      </c>
      <c r="B25" s="40" t="s">
        <v>206</v>
      </c>
      <c r="C25" s="6" t="s">
        <v>175</v>
      </c>
      <c r="D25" s="15" t="s">
        <v>205</v>
      </c>
    </row>
    <row r="26" ht="15.0" customHeight="1">
      <c r="A26" s="6" t="s">
        <v>131</v>
      </c>
      <c r="B26" s="40" t="s">
        <v>208</v>
      </c>
      <c r="C26" s="6" t="s">
        <v>148</v>
      </c>
      <c r="D26" s="15" t="s">
        <v>207</v>
      </c>
    </row>
    <row r="27" ht="15.0" customHeight="1">
      <c r="A27" s="6" t="s">
        <v>133</v>
      </c>
      <c r="B27" s="40" t="s">
        <v>210</v>
      </c>
      <c r="C27" s="6" t="s">
        <v>94</v>
      </c>
      <c r="D27" s="15" t="s">
        <v>209</v>
      </c>
    </row>
    <row r="28" ht="15.0" customHeight="1">
      <c r="A28" s="6" t="s">
        <v>138</v>
      </c>
      <c r="B28" s="40" t="s">
        <v>212</v>
      </c>
      <c r="C28" s="6" t="s">
        <v>94</v>
      </c>
      <c r="D28" s="15" t="s">
        <v>211</v>
      </c>
    </row>
    <row r="29" ht="15.0" customHeight="1">
      <c r="A29" s="6" t="s">
        <v>139</v>
      </c>
      <c r="B29" s="40" t="s">
        <v>215</v>
      </c>
      <c r="C29" s="6" t="s">
        <v>148</v>
      </c>
      <c r="D29" s="15" t="s">
        <v>214</v>
      </c>
    </row>
    <row r="30" ht="15.0" customHeight="1">
      <c r="A30" s="6" t="s">
        <v>141</v>
      </c>
      <c r="B30" s="40" t="s">
        <v>217</v>
      </c>
      <c r="C30" s="6" t="s">
        <v>175</v>
      </c>
      <c r="D30" s="15" t="s">
        <v>216</v>
      </c>
    </row>
    <row r="31" ht="15.0" customHeight="1">
      <c r="A31" s="6" t="s">
        <v>143</v>
      </c>
      <c r="B31" s="40" t="s">
        <v>219</v>
      </c>
      <c r="C31" s="6" t="s">
        <v>175</v>
      </c>
      <c r="D31" s="15" t="s">
        <v>218</v>
      </c>
    </row>
    <row r="32" ht="15.0" customHeight="1">
      <c r="A32" s="6" t="s">
        <v>146</v>
      </c>
      <c r="B32" s="40" t="s">
        <v>221</v>
      </c>
      <c r="C32" s="6" t="s">
        <v>175</v>
      </c>
      <c r="D32" s="15" t="s">
        <v>220</v>
      </c>
    </row>
    <row r="33" ht="15.0" customHeight="1">
      <c r="A33" s="6" t="s">
        <v>149</v>
      </c>
      <c r="B33" s="40" t="s">
        <v>223</v>
      </c>
      <c r="C33" s="6" t="s">
        <v>148</v>
      </c>
      <c r="D33" s="15" t="s">
        <v>222</v>
      </c>
    </row>
    <row r="34" ht="15.0" customHeight="1">
      <c r="A34" s="6" t="s">
        <v>150</v>
      </c>
      <c r="B34" s="40" t="s">
        <v>225</v>
      </c>
      <c r="C34" s="6" t="s">
        <v>148</v>
      </c>
      <c r="D34" s="15" t="s">
        <v>224</v>
      </c>
    </row>
    <row r="35" ht="15.0" customHeight="1">
      <c r="A35" s="6" t="s">
        <v>507</v>
      </c>
      <c r="B35" s="40" t="s">
        <v>232</v>
      </c>
      <c r="C35" s="6" t="s">
        <v>94</v>
      </c>
      <c r="D35" s="6" t="s">
        <v>508</v>
      </c>
    </row>
    <row r="36" ht="15.0" customHeight="1">
      <c r="A36" s="6" t="s">
        <v>509</v>
      </c>
      <c r="B36" s="40" t="s">
        <v>228</v>
      </c>
      <c r="C36" s="6" t="s">
        <v>94</v>
      </c>
      <c r="D36" s="6" t="s">
        <v>508</v>
      </c>
    </row>
    <row r="37" ht="15.0" customHeight="1">
      <c r="A37" s="6" t="s">
        <v>510</v>
      </c>
      <c r="B37" s="40" t="s">
        <v>243</v>
      </c>
      <c r="C37" s="6" t="s">
        <v>94</v>
      </c>
      <c r="D37" s="6" t="s">
        <v>508</v>
      </c>
    </row>
    <row r="38" ht="15.0" customHeight="1">
      <c r="A38" s="6" t="s">
        <v>511</v>
      </c>
      <c r="B38" s="40" t="s">
        <v>249</v>
      </c>
      <c r="C38" s="6" t="s">
        <v>94</v>
      </c>
      <c r="D38" s="6" t="s">
        <v>508</v>
      </c>
    </row>
    <row r="39" ht="15.0" customHeight="1">
      <c r="A39" s="6" t="s">
        <v>512</v>
      </c>
      <c r="B39" s="40" t="s">
        <v>276</v>
      </c>
      <c r="C39" s="6" t="s">
        <v>94</v>
      </c>
      <c r="D39" s="6" t="s">
        <v>508</v>
      </c>
    </row>
    <row r="40" ht="15.0" customHeight="1">
      <c r="A40" s="6" t="s">
        <v>513</v>
      </c>
      <c r="B40" s="40" t="s">
        <v>272</v>
      </c>
      <c r="C40" s="6" t="s">
        <v>94</v>
      </c>
      <c r="D40" s="6" t="s">
        <v>508</v>
      </c>
    </row>
    <row r="41" ht="15.0" customHeight="1">
      <c r="A41" s="6" t="s">
        <v>514</v>
      </c>
      <c r="B41" s="40" t="s">
        <v>332</v>
      </c>
      <c r="C41" s="6" t="s">
        <v>94</v>
      </c>
      <c r="D41" s="6" t="s">
        <v>508</v>
      </c>
    </row>
    <row r="42" ht="15.0" customHeight="1">
      <c r="A42" s="6" t="s">
        <v>515</v>
      </c>
      <c r="B42" s="40" t="s">
        <v>304</v>
      </c>
      <c r="C42" s="6" t="s">
        <v>94</v>
      </c>
      <c r="D42" s="6" t="s">
        <v>508</v>
      </c>
    </row>
    <row r="43" ht="15.0" customHeight="1">
      <c r="A43" s="6" t="s">
        <v>516</v>
      </c>
      <c r="B43" s="40" t="s">
        <v>319</v>
      </c>
      <c r="C43" s="6" t="s">
        <v>94</v>
      </c>
      <c r="D43" s="6" t="s">
        <v>508</v>
      </c>
    </row>
    <row r="44" ht="15.0" customHeight="1">
      <c r="A44" s="6" t="s">
        <v>517</v>
      </c>
      <c r="B44" s="40" t="s">
        <v>343</v>
      </c>
      <c r="C44" s="6" t="s">
        <v>94</v>
      </c>
      <c r="D44" s="6" t="s">
        <v>508</v>
      </c>
    </row>
    <row r="45" ht="15.0" customHeight="1">
      <c r="A45" s="6" t="s">
        <v>518</v>
      </c>
      <c r="B45" s="40" t="s">
        <v>315</v>
      </c>
      <c r="C45" s="6" t="s">
        <v>94</v>
      </c>
      <c r="D45" s="6" t="s">
        <v>508</v>
      </c>
    </row>
    <row r="46" ht="15.0" customHeight="1">
      <c r="A46" s="6" t="s">
        <v>519</v>
      </c>
      <c r="B46" s="40" t="s">
        <v>347</v>
      </c>
      <c r="C46" s="6" t="s">
        <v>94</v>
      </c>
      <c r="D46" s="6" t="s">
        <v>508</v>
      </c>
    </row>
    <row r="47" ht="15.0" customHeight="1">
      <c r="A47" s="6" t="s">
        <v>520</v>
      </c>
      <c r="B47" s="40" t="s">
        <v>357</v>
      </c>
      <c r="C47" s="6" t="s">
        <v>94</v>
      </c>
      <c r="D47" s="6" t="s">
        <v>508</v>
      </c>
    </row>
    <row r="48" ht="15.0" customHeight="1">
      <c r="A48" s="6" t="s">
        <v>521</v>
      </c>
      <c r="B48" s="40" t="s">
        <v>362</v>
      </c>
      <c r="C48" s="6" t="s">
        <v>94</v>
      </c>
      <c r="D48" s="6" t="s">
        <v>508</v>
      </c>
    </row>
    <row r="49" ht="15.0" customHeight="1">
      <c r="A49" s="6" t="s">
        <v>522</v>
      </c>
      <c r="B49" s="40" t="s">
        <v>368</v>
      </c>
      <c r="C49" s="6" t="s">
        <v>94</v>
      </c>
      <c r="D49" s="6" t="s">
        <v>508</v>
      </c>
    </row>
    <row r="50" ht="15.0" customHeight="1">
      <c r="A50" s="6" t="s">
        <v>523</v>
      </c>
      <c r="B50" s="40" t="s">
        <v>375</v>
      </c>
      <c r="C50" s="6" t="s">
        <v>94</v>
      </c>
      <c r="D50" s="6" t="s">
        <v>508</v>
      </c>
    </row>
    <row r="51" ht="15.0" customHeight="1">
      <c r="A51" s="6" t="s">
        <v>524</v>
      </c>
      <c r="B51" s="40" t="s">
        <v>387</v>
      </c>
      <c r="C51" s="6" t="s">
        <v>94</v>
      </c>
      <c r="D51" s="6" t="s">
        <v>508</v>
      </c>
    </row>
    <row r="52" ht="15.0" customHeight="1">
      <c r="A52" s="6" t="s">
        <v>525</v>
      </c>
      <c r="B52" s="40" t="s">
        <v>413</v>
      </c>
      <c r="C52" s="6" t="s">
        <v>94</v>
      </c>
      <c r="D52" s="6" t="s">
        <v>508</v>
      </c>
    </row>
    <row r="53" ht="15.0" customHeight="1">
      <c r="A53" s="6" t="s">
        <v>526</v>
      </c>
      <c r="B53" s="40" t="s">
        <v>432</v>
      </c>
      <c r="C53" s="6" t="s">
        <v>94</v>
      </c>
      <c r="D53" s="6" t="s">
        <v>508</v>
      </c>
    </row>
    <row r="54" ht="15.0" customHeight="1">
      <c r="A54" s="6" t="s">
        <v>527</v>
      </c>
      <c r="B54" s="40" t="s">
        <v>435</v>
      </c>
      <c r="C54" s="6" t="s">
        <v>94</v>
      </c>
      <c r="D54" s="6" t="s">
        <v>508</v>
      </c>
    </row>
    <row r="55" ht="15.0" customHeight="1">
      <c r="A55" s="6" t="s">
        <v>528</v>
      </c>
      <c r="B55" s="40" t="s">
        <v>493</v>
      </c>
      <c r="C55" s="6" t="s">
        <v>94</v>
      </c>
      <c r="D55" s="6" t="s">
        <v>508</v>
      </c>
    </row>
    <row r="56" ht="15.75" customHeight="1">
      <c r="A56" s="6"/>
      <c r="B56" s="6"/>
      <c r="C56" s="6"/>
      <c r="D56" s="6"/>
    </row>
    <row r="57" ht="15.75" customHeight="1">
      <c r="A57" s="6"/>
      <c r="B57" s="6"/>
      <c r="C57" s="6"/>
      <c r="D57" s="6"/>
    </row>
    <row r="58" ht="15.75" customHeight="1">
      <c r="A58" s="6"/>
      <c r="B58" s="6"/>
      <c r="C58" s="6"/>
      <c r="D58" s="6"/>
    </row>
    <row r="59" ht="15.75" customHeight="1">
      <c r="A59" s="6"/>
      <c r="B59" s="6"/>
      <c r="C59" s="6"/>
      <c r="D59" s="6"/>
    </row>
    <row r="60" ht="15.75" customHeight="1">
      <c r="A60" s="6"/>
      <c r="B60" s="6"/>
      <c r="C60" s="6"/>
      <c r="D60" s="6"/>
    </row>
    <row r="61" ht="15.75" customHeight="1">
      <c r="A61" s="6"/>
      <c r="B61" s="6"/>
      <c r="C61" s="6"/>
      <c r="D61" s="6"/>
    </row>
    <row r="62" ht="15.75" customHeight="1">
      <c r="A62" s="6"/>
      <c r="B62" s="6"/>
      <c r="C62" s="6"/>
      <c r="D62" s="6"/>
    </row>
    <row r="63" ht="15.75" customHeight="1">
      <c r="A63" s="6"/>
      <c r="B63" s="6"/>
      <c r="C63" s="6"/>
      <c r="D63" s="6"/>
    </row>
    <row r="64" ht="15.75" customHeight="1">
      <c r="A64" s="6"/>
      <c r="B64" s="6"/>
      <c r="C64" s="6"/>
      <c r="D64" s="6"/>
    </row>
    <row r="65" ht="15.75" customHeight="1">
      <c r="A65" s="6"/>
      <c r="B65" s="6"/>
      <c r="C65" s="6"/>
      <c r="D65" s="6"/>
    </row>
    <row r="66" ht="15.75" customHeight="1">
      <c r="A66" s="6"/>
      <c r="B66" s="6"/>
      <c r="C66" s="6"/>
      <c r="D66" s="6"/>
    </row>
    <row r="67" ht="15.75" customHeight="1">
      <c r="A67" s="6"/>
      <c r="B67" s="6"/>
      <c r="C67" s="6"/>
      <c r="D67" s="6"/>
    </row>
    <row r="68" ht="15.75" customHeight="1">
      <c r="A68" s="6"/>
      <c r="B68" s="6"/>
      <c r="C68" s="6"/>
      <c r="D68" s="6"/>
    </row>
    <row r="69" ht="15.75" customHeight="1">
      <c r="A69" s="6"/>
      <c r="B69" s="6"/>
      <c r="C69" s="6"/>
      <c r="D69" s="6"/>
    </row>
    <row r="70" ht="15.75" customHeight="1">
      <c r="A70" s="6"/>
      <c r="B70" s="6"/>
      <c r="C70" s="6"/>
      <c r="D70" s="6"/>
    </row>
    <row r="71" ht="15.75" customHeight="1">
      <c r="A71" s="6"/>
      <c r="B71" s="6"/>
      <c r="C71" s="6"/>
      <c r="D71" s="6"/>
    </row>
    <row r="72" ht="15.75" customHeight="1">
      <c r="A72" s="6"/>
      <c r="B72" s="6"/>
      <c r="C72" s="6"/>
      <c r="D72" s="6"/>
    </row>
    <row r="73" ht="15.75" customHeight="1">
      <c r="A73" s="6"/>
      <c r="B73" s="6"/>
      <c r="C73" s="6"/>
      <c r="D73" s="6"/>
    </row>
    <row r="74" ht="15.75" customHeight="1">
      <c r="A74" s="6"/>
      <c r="B74" s="6"/>
      <c r="C74" s="6"/>
      <c r="D74" s="6"/>
    </row>
    <row r="75" ht="15.75" customHeight="1">
      <c r="A75" s="6"/>
      <c r="B75" s="6"/>
      <c r="C75" s="6"/>
      <c r="D75" s="6"/>
    </row>
    <row r="76" ht="15.75" customHeight="1">
      <c r="A76" s="6"/>
      <c r="B76" s="6"/>
      <c r="C76" s="6"/>
      <c r="D76" s="6"/>
    </row>
    <row r="77" ht="15.75" customHeight="1">
      <c r="A77" s="6"/>
      <c r="B77" s="6"/>
      <c r="C77" s="6"/>
      <c r="D77" s="6"/>
    </row>
    <row r="78" ht="15.75" customHeight="1">
      <c r="A78" s="6"/>
      <c r="B78" s="6"/>
      <c r="C78" s="6"/>
      <c r="D78" s="6"/>
    </row>
    <row r="79" ht="15.75" customHeight="1">
      <c r="A79" s="6"/>
      <c r="B79" s="6"/>
      <c r="C79" s="6"/>
      <c r="D79" s="6"/>
    </row>
    <row r="80" ht="15.75" customHeight="1">
      <c r="A80" s="6"/>
      <c r="B80" s="6"/>
      <c r="C80" s="6"/>
      <c r="D80" s="6"/>
    </row>
    <row r="81" ht="15.75" customHeight="1">
      <c r="A81" s="6"/>
      <c r="B81" s="6"/>
      <c r="C81" s="6"/>
      <c r="D81" s="6"/>
    </row>
    <row r="82" ht="15.75" customHeight="1">
      <c r="A82" s="6"/>
      <c r="B82" s="6"/>
      <c r="C82" s="6"/>
      <c r="D82" s="6"/>
    </row>
    <row r="83" ht="15.75" customHeight="1">
      <c r="A83" s="6"/>
      <c r="B83" s="6"/>
      <c r="C83" s="6"/>
      <c r="D83" s="6"/>
    </row>
    <row r="84" ht="15.75" customHeight="1">
      <c r="A84" s="6"/>
      <c r="B84" s="6"/>
      <c r="C84" s="6"/>
      <c r="D84" s="6"/>
    </row>
    <row r="85" ht="15.75" customHeight="1">
      <c r="A85" s="6"/>
      <c r="B85" s="6"/>
      <c r="C85" s="6"/>
      <c r="D85" s="6"/>
    </row>
    <row r="86" ht="15.75" customHeight="1">
      <c r="A86" s="6"/>
      <c r="B86" s="6"/>
      <c r="C86" s="6"/>
      <c r="D86" s="6"/>
    </row>
    <row r="87" ht="15.75" customHeight="1">
      <c r="A87" s="6"/>
      <c r="B87" s="6"/>
      <c r="C87" s="6"/>
      <c r="D87" s="6"/>
    </row>
    <row r="88" ht="15.75" customHeight="1">
      <c r="A88" s="6"/>
      <c r="B88" s="6"/>
      <c r="C88" s="6"/>
      <c r="D88" s="6"/>
    </row>
    <row r="89" ht="15.75" customHeight="1">
      <c r="A89" s="6"/>
      <c r="B89" s="6"/>
      <c r="C89" s="6"/>
      <c r="D89" s="6"/>
    </row>
    <row r="90" ht="15.75" customHeight="1">
      <c r="A90" s="6"/>
      <c r="B90" s="6"/>
      <c r="C90" s="6"/>
      <c r="D90" s="6"/>
    </row>
    <row r="91" ht="15.75" customHeight="1">
      <c r="A91" s="6"/>
      <c r="B91" s="6"/>
      <c r="C91" s="6"/>
      <c r="D91" s="6"/>
    </row>
    <row r="92" ht="15.75" customHeight="1">
      <c r="A92" s="6"/>
      <c r="B92" s="6"/>
      <c r="C92" s="6"/>
      <c r="D92" s="6"/>
    </row>
    <row r="93" ht="15.75" customHeight="1">
      <c r="A93" s="6"/>
      <c r="B93" s="6"/>
      <c r="C93" s="6"/>
      <c r="D93" s="6"/>
    </row>
    <row r="94" ht="15.75" customHeight="1">
      <c r="A94" s="6"/>
      <c r="B94" s="6"/>
      <c r="C94" s="6"/>
      <c r="D94" s="6"/>
    </row>
    <row r="95" ht="15.75" customHeight="1">
      <c r="A95" s="6"/>
      <c r="B95" s="6"/>
      <c r="C95" s="6"/>
      <c r="D95" s="6"/>
    </row>
    <row r="96" ht="15.75" customHeight="1">
      <c r="A96" s="6"/>
      <c r="B96" s="6"/>
      <c r="C96" s="6"/>
      <c r="D96" s="6"/>
    </row>
    <row r="97" ht="15.75" customHeight="1">
      <c r="A97" s="6"/>
      <c r="B97" s="6"/>
      <c r="C97" s="6"/>
      <c r="D97" s="6"/>
    </row>
    <row r="98" ht="15.75" customHeight="1">
      <c r="A98" s="6"/>
      <c r="B98" s="6"/>
      <c r="C98" s="6"/>
      <c r="D98" s="6"/>
    </row>
    <row r="99" ht="15.75" customHeight="1">
      <c r="A99" s="6"/>
      <c r="B99" s="6"/>
      <c r="C99" s="6"/>
      <c r="D99" s="6"/>
    </row>
    <row r="100" ht="15.75" customHeight="1">
      <c r="A100" s="6"/>
      <c r="B100" s="6"/>
      <c r="C100" s="6"/>
      <c r="D100" s="6"/>
    </row>
    <row r="101" ht="15.75" customHeight="1">
      <c r="A101" s="6"/>
      <c r="B101" s="6"/>
      <c r="C101" s="6"/>
      <c r="D101" s="6"/>
    </row>
    <row r="102" ht="15.75" customHeight="1">
      <c r="A102" s="6"/>
      <c r="B102" s="6"/>
      <c r="C102" s="6"/>
      <c r="D102" s="6"/>
    </row>
    <row r="103" ht="15.75" customHeight="1">
      <c r="A103" s="6"/>
      <c r="B103" s="6"/>
      <c r="C103" s="6"/>
      <c r="D103" s="6"/>
    </row>
    <row r="104" ht="15.75" customHeight="1">
      <c r="A104" s="6"/>
      <c r="B104" s="6"/>
      <c r="C104" s="6"/>
      <c r="D104" s="6"/>
    </row>
    <row r="105" ht="15.75" customHeight="1">
      <c r="A105" s="6"/>
      <c r="B105" s="6"/>
      <c r="C105" s="6"/>
      <c r="D105" s="6"/>
    </row>
    <row r="106" ht="15.75" customHeight="1">
      <c r="A106" s="6"/>
      <c r="B106" s="6"/>
      <c r="C106" s="6"/>
      <c r="D106" s="6"/>
    </row>
    <row r="107" ht="15.75" customHeight="1">
      <c r="A107" s="6"/>
      <c r="B107" s="6"/>
      <c r="C107" s="6"/>
      <c r="D107" s="6"/>
    </row>
    <row r="108" ht="15.75" customHeight="1">
      <c r="A108" s="6"/>
      <c r="B108" s="6"/>
      <c r="C108" s="6"/>
      <c r="D108" s="6"/>
    </row>
    <row r="109" ht="15.75" customHeight="1">
      <c r="A109" s="6"/>
      <c r="B109" s="6"/>
      <c r="C109" s="6"/>
      <c r="D109" s="6"/>
    </row>
    <row r="110" ht="15.75" customHeight="1">
      <c r="A110" s="6"/>
      <c r="B110" s="6"/>
      <c r="C110" s="6"/>
      <c r="D110" s="6"/>
    </row>
    <row r="111" ht="15.75" customHeight="1">
      <c r="A111" s="6"/>
      <c r="B111" s="6"/>
      <c r="C111" s="6"/>
      <c r="D111" s="6"/>
    </row>
    <row r="112" ht="15.75" customHeight="1">
      <c r="A112" s="6"/>
      <c r="B112" s="6"/>
      <c r="C112" s="6"/>
      <c r="D112" s="6"/>
    </row>
    <row r="113" ht="15.75" customHeight="1">
      <c r="A113" s="6"/>
      <c r="B113" s="6"/>
      <c r="C113" s="6"/>
      <c r="D113" s="6"/>
    </row>
    <row r="114" ht="15.75" customHeight="1">
      <c r="A114" s="6"/>
      <c r="B114" s="6"/>
      <c r="C114" s="6"/>
      <c r="D114" s="6"/>
    </row>
    <row r="115" ht="15.75" customHeight="1">
      <c r="A115" s="6"/>
      <c r="B115" s="6"/>
      <c r="C115" s="6"/>
      <c r="D115" s="6"/>
    </row>
    <row r="116" ht="15.75" customHeight="1">
      <c r="A116" s="6"/>
      <c r="B116" s="6"/>
      <c r="C116" s="6"/>
      <c r="D116" s="6"/>
    </row>
    <row r="117" ht="15.75" customHeight="1">
      <c r="A117" s="6"/>
      <c r="B117" s="6"/>
      <c r="C117" s="6"/>
      <c r="D117" s="6"/>
    </row>
    <row r="118" ht="15.75" customHeight="1">
      <c r="A118" s="6"/>
      <c r="B118" s="6"/>
      <c r="C118" s="6"/>
      <c r="D118" s="6"/>
    </row>
    <row r="119" ht="15.75" customHeight="1">
      <c r="A119" s="6"/>
      <c r="B119" s="6"/>
      <c r="C119" s="6"/>
      <c r="D119" s="6"/>
    </row>
    <row r="120" ht="15.75" customHeight="1">
      <c r="A120" s="6"/>
      <c r="B120" s="6"/>
      <c r="C120" s="6"/>
      <c r="D120" s="6"/>
    </row>
    <row r="121" ht="15.75" customHeight="1">
      <c r="A121" s="6"/>
      <c r="B121" s="6"/>
      <c r="C121" s="6"/>
      <c r="D121" s="6"/>
    </row>
    <row r="122" ht="15.75" customHeight="1">
      <c r="A122" s="6"/>
      <c r="B122" s="6"/>
      <c r="C122" s="6"/>
      <c r="D122" s="6"/>
    </row>
    <row r="123" ht="15.75" customHeight="1">
      <c r="A123" s="6"/>
      <c r="B123" s="6"/>
      <c r="C123" s="6"/>
      <c r="D123" s="6"/>
    </row>
    <row r="124" ht="15.75" customHeight="1">
      <c r="A124" s="6"/>
      <c r="B124" s="6"/>
      <c r="C124" s="6"/>
      <c r="D124" s="6"/>
    </row>
    <row r="125" ht="15.75" customHeight="1">
      <c r="A125" s="6"/>
      <c r="B125" s="6"/>
      <c r="C125" s="6"/>
      <c r="D125" s="6"/>
    </row>
    <row r="126" ht="15.75" customHeight="1">
      <c r="A126" s="6"/>
      <c r="B126" s="6"/>
      <c r="C126" s="6"/>
      <c r="D126" s="6"/>
    </row>
    <row r="127" ht="15.75" customHeight="1">
      <c r="A127" s="6"/>
      <c r="B127" s="6"/>
      <c r="C127" s="6"/>
      <c r="D127" s="6"/>
    </row>
    <row r="128" ht="15.75" customHeight="1">
      <c r="A128" s="6"/>
      <c r="B128" s="6"/>
      <c r="C128" s="6"/>
      <c r="D128" s="6"/>
    </row>
    <row r="129" ht="15.75" customHeight="1">
      <c r="A129" s="6"/>
      <c r="B129" s="6"/>
      <c r="C129" s="6"/>
      <c r="D129" s="6"/>
    </row>
    <row r="130" ht="15.75" customHeight="1">
      <c r="A130" s="6"/>
      <c r="B130" s="6"/>
      <c r="C130" s="6"/>
      <c r="D130" s="6"/>
    </row>
    <row r="131" ht="15.75" customHeight="1">
      <c r="A131" s="6"/>
      <c r="B131" s="6"/>
      <c r="C131" s="6"/>
      <c r="D131" s="6"/>
    </row>
    <row r="132" ht="15.75" customHeight="1">
      <c r="A132" s="6"/>
      <c r="B132" s="6"/>
      <c r="C132" s="6"/>
      <c r="D132" s="6"/>
    </row>
    <row r="133" ht="15.75" customHeight="1">
      <c r="A133" s="6"/>
      <c r="B133" s="6"/>
      <c r="C133" s="6"/>
      <c r="D133" s="6"/>
    </row>
    <row r="134" ht="15.75" customHeight="1">
      <c r="A134" s="6"/>
      <c r="B134" s="6"/>
      <c r="C134" s="6"/>
      <c r="D134" s="6"/>
    </row>
    <row r="135" ht="15.75" customHeight="1">
      <c r="A135" s="6"/>
      <c r="B135" s="6"/>
      <c r="C135" s="6"/>
      <c r="D135" s="6"/>
    </row>
    <row r="136" ht="15.75" customHeight="1">
      <c r="A136" s="6"/>
      <c r="B136" s="6"/>
      <c r="C136" s="6"/>
      <c r="D136" s="6"/>
    </row>
    <row r="137" ht="15.75" customHeight="1">
      <c r="A137" s="6"/>
      <c r="B137" s="6"/>
      <c r="C137" s="6"/>
      <c r="D137" s="6"/>
    </row>
    <row r="138" ht="15.75" customHeight="1">
      <c r="A138" s="6"/>
      <c r="B138" s="6"/>
      <c r="C138" s="6"/>
      <c r="D138" s="6"/>
    </row>
    <row r="139" ht="15.75" customHeight="1">
      <c r="A139" s="6"/>
      <c r="B139" s="6"/>
      <c r="C139" s="6"/>
      <c r="D139" s="6"/>
    </row>
    <row r="140" ht="15.75" customHeight="1">
      <c r="A140" s="6"/>
      <c r="B140" s="6"/>
      <c r="C140" s="6"/>
      <c r="D140" s="6"/>
    </row>
    <row r="141" ht="15.75" customHeight="1">
      <c r="A141" s="6"/>
      <c r="B141" s="6"/>
      <c r="C141" s="6"/>
      <c r="D141" s="6"/>
    </row>
    <row r="142" ht="15.75" customHeight="1">
      <c r="A142" s="6"/>
      <c r="B142" s="6"/>
      <c r="C142" s="6"/>
      <c r="D142" s="6"/>
    </row>
    <row r="143" ht="15.75" customHeight="1">
      <c r="A143" s="6"/>
      <c r="B143" s="6"/>
      <c r="C143" s="6"/>
      <c r="D143" s="6"/>
    </row>
    <row r="144" ht="15.75" customHeight="1">
      <c r="A144" s="6"/>
      <c r="B144" s="6"/>
      <c r="C144" s="6"/>
      <c r="D144" s="6"/>
    </row>
    <row r="145" ht="15.75" customHeight="1">
      <c r="A145" s="6"/>
      <c r="B145" s="6"/>
      <c r="C145" s="6"/>
      <c r="D145" s="6"/>
    </row>
    <row r="146" ht="15.75" customHeight="1">
      <c r="A146" s="6"/>
      <c r="B146" s="6"/>
      <c r="C146" s="6"/>
      <c r="D146" s="6"/>
    </row>
    <row r="147" ht="15.75" customHeight="1">
      <c r="A147" s="6"/>
      <c r="B147" s="6"/>
      <c r="C147" s="6"/>
      <c r="D147" s="6"/>
    </row>
    <row r="148" ht="15.75" customHeight="1">
      <c r="A148" s="6"/>
      <c r="B148" s="6"/>
      <c r="C148" s="6"/>
      <c r="D148" s="6"/>
    </row>
    <row r="149" ht="15.75" customHeight="1">
      <c r="A149" s="6"/>
      <c r="B149" s="6"/>
      <c r="C149" s="6"/>
      <c r="D149" s="6"/>
    </row>
    <row r="150" ht="15.75" customHeight="1">
      <c r="A150" s="6"/>
      <c r="B150" s="6"/>
      <c r="C150" s="6"/>
      <c r="D150" s="6"/>
    </row>
    <row r="151" ht="15.75" customHeight="1">
      <c r="A151" s="6"/>
      <c r="B151" s="6"/>
      <c r="C151" s="6"/>
      <c r="D151" s="6"/>
    </row>
    <row r="152" ht="15.75" customHeight="1">
      <c r="A152" s="6"/>
      <c r="B152" s="6"/>
      <c r="C152" s="6"/>
      <c r="D152" s="6"/>
    </row>
    <row r="153" ht="15.75" customHeight="1">
      <c r="A153" s="6"/>
      <c r="B153" s="6"/>
      <c r="C153" s="6"/>
      <c r="D153" s="6"/>
    </row>
    <row r="154" ht="15.75" customHeight="1">
      <c r="A154" s="6"/>
      <c r="B154" s="6"/>
      <c r="C154" s="6"/>
      <c r="D154" s="6"/>
    </row>
    <row r="155" ht="15.75" customHeight="1">
      <c r="A155" s="6"/>
      <c r="B155" s="6"/>
      <c r="C155" s="6"/>
      <c r="D155" s="6"/>
    </row>
    <row r="156" ht="15.75" customHeight="1">
      <c r="A156" s="6"/>
      <c r="B156" s="6"/>
      <c r="C156" s="6"/>
      <c r="D156" s="6"/>
    </row>
    <row r="157" ht="15.75" customHeight="1">
      <c r="A157" s="6"/>
      <c r="B157" s="6"/>
      <c r="C157" s="6"/>
      <c r="D157" s="6"/>
    </row>
    <row r="158" ht="15.75" customHeight="1">
      <c r="A158" s="6"/>
      <c r="B158" s="6"/>
      <c r="C158" s="6"/>
      <c r="D158" s="6"/>
    </row>
    <row r="159" ht="15.75" customHeight="1">
      <c r="A159" s="6"/>
      <c r="B159" s="6"/>
      <c r="C159" s="6"/>
      <c r="D159" s="6"/>
    </row>
    <row r="160" ht="15.75" customHeight="1">
      <c r="A160" s="6"/>
      <c r="B160" s="6"/>
      <c r="C160" s="6"/>
      <c r="D160" s="6"/>
    </row>
    <row r="161" ht="15.75" customHeight="1">
      <c r="A161" s="6"/>
      <c r="B161" s="6"/>
      <c r="C161" s="6"/>
      <c r="D161" s="6"/>
    </row>
    <row r="162" ht="15.75" customHeight="1">
      <c r="A162" s="6"/>
      <c r="B162" s="6"/>
      <c r="C162" s="6"/>
      <c r="D162" s="6"/>
    </row>
    <row r="163" ht="15.75" customHeight="1">
      <c r="A163" s="6"/>
      <c r="B163" s="6"/>
      <c r="C163" s="6"/>
      <c r="D163" s="6"/>
    </row>
    <row r="164" ht="15.75" customHeight="1">
      <c r="A164" s="6"/>
      <c r="B164" s="6"/>
      <c r="C164" s="6"/>
      <c r="D164" s="6"/>
    </row>
    <row r="165" ht="15.75" customHeight="1">
      <c r="A165" s="6"/>
      <c r="B165" s="6"/>
      <c r="C165" s="6"/>
      <c r="D165" s="6"/>
    </row>
    <row r="166" ht="15.75" customHeight="1">
      <c r="A166" s="6"/>
      <c r="B166" s="6"/>
      <c r="C166" s="6"/>
      <c r="D166" s="6"/>
    </row>
    <row r="167" ht="15.75" customHeight="1">
      <c r="A167" s="6"/>
      <c r="B167" s="6"/>
      <c r="C167" s="6"/>
      <c r="D167" s="6"/>
    </row>
    <row r="168" ht="15.75" customHeight="1">
      <c r="A168" s="6"/>
      <c r="B168" s="6"/>
      <c r="C168" s="6"/>
      <c r="D168" s="6"/>
    </row>
    <row r="169" ht="15.75" customHeight="1">
      <c r="A169" s="6"/>
      <c r="B169" s="6"/>
      <c r="C169" s="6"/>
      <c r="D169" s="6"/>
    </row>
    <row r="170" ht="15.75" customHeight="1">
      <c r="A170" s="6"/>
      <c r="B170" s="6"/>
      <c r="C170" s="6"/>
      <c r="D170" s="6"/>
    </row>
    <row r="171" ht="15.75" customHeight="1">
      <c r="A171" s="6"/>
      <c r="B171" s="6"/>
      <c r="C171" s="6"/>
      <c r="D171" s="6"/>
    </row>
    <row r="172" ht="15.75" customHeight="1">
      <c r="A172" s="6"/>
      <c r="B172" s="6"/>
      <c r="C172" s="6"/>
      <c r="D172" s="6"/>
    </row>
    <row r="173" ht="15.75" customHeight="1">
      <c r="A173" s="6"/>
      <c r="B173" s="6"/>
      <c r="C173" s="6"/>
      <c r="D173" s="6"/>
    </row>
    <row r="174" ht="15.75" customHeight="1">
      <c r="A174" s="6"/>
      <c r="B174" s="6"/>
      <c r="C174" s="6"/>
      <c r="D174" s="6"/>
    </row>
    <row r="175" ht="15.75" customHeight="1">
      <c r="A175" s="6"/>
      <c r="B175" s="6"/>
      <c r="C175" s="6"/>
      <c r="D175" s="6"/>
    </row>
    <row r="176" ht="15.75" customHeight="1">
      <c r="A176" s="6"/>
      <c r="B176" s="6"/>
      <c r="C176" s="6"/>
      <c r="D176" s="6"/>
    </row>
    <row r="177" ht="15.75" customHeight="1">
      <c r="A177" s="6"/>
      <c r="B177" s="6"/>
      <c r="C177" s="6"/>
      <c r="D177" s="6"/>
    </row>
    <row r="178" ht="15.75" customHeight="1">
      <c r="A178" s="6"/>
      <c r="B178" s="6"/>
      <c r="C178" s="6"/>
      <c r="D178" s="6"/>
    </row>
    <row r="179" ht="15.75" customHeight="1">
      <c r="A179" s="6"/>
      <c r="B179" s="6"/>
      <c r="C179" s="6"/>
      <c r="D179" s="6"/>
    </row>
    <row r="180" ht="15.75" customHeight="1">
      <c r="A180" s="6"/>
      <c r="B180" s="6"/>
      <c r="C180" s="6"/>
      <c r="D180" s="6"/>
    </row>
    <row r="181" ht="15.75" customHeight="1">
      <c r="A181" s="6"/>
      <c r="B181" s="6"/>
      <c r="C181" s="6"/>
      <c r="D181" s="6"/>
    </row>
    <row r="182" ht="15.75" customHeight="1">
      <c r="A182" s="6"/>
      <c r="B182" s="6"/>
      <c r="C182" s="6"/>
      <c r="D182" s="6"/>
    </row>
    <row r="183" ht="15.75" customHeight="1">
      <c r="A183" s="6"/>
      <c r="B183" s="6"/>
      <c r="C183" s="6"/>
      <c r="D183" s="6"/>
    </row>
    <row r="184" ht="15.75" customHeight="1">
      <c r="A184" s="6"/>
      <c r="B184" s="6"/>
      <c r="C184" s="6"/>
      <c r="D184" s="6"/>
    </row>
    <row r="185" ht="15.75" customHeight="1">
      <c r="A185" s="6"/>
      <c r="B185" s="6"/>
      <c r="C185" s="6"/>
      <c r="D185" s="6"/>
    </row>
    <row r="186" ht="15.75" customHeight="1">
      <c r="A186" s="6"/>
      <c r="B186" s="6"/>
      <c r="C186" s="6"/>
      <c r="D186" s="6"/>
    </row>
    <row r="187" ht="15.75" customHeight="1">
      <c r="A187" s="6"/>
      <c r="B187" s="6"/>
      <c r="C187" s="6"/>
      <c r="D187" s="6"/>
    </row>
    <row r="188" ht="15.75" customHeight="1">
      <c r="A188" s="6"/>
      <c r="B188" s="6"/>
      <c r="C188" s="6"/>
      <c r="D188" s="6"/>
    </row>
    <row r="189" ht="15.75" customHeight="1">
      <c r="A189" s="6"/>
      <c r="B189" s="6"/>
      <c r="C189" s="6"/>
      <c r="D189" s="6"/>
    </row>
    <row r="190" ht="15.75" customHeight="1">
      <c r="A190" s="6"/>
      <c r="B190" s="6"/>
      <c r="C190" s="6"/>
      <c r="D190" s="6"/>
    </row>
    <row r="191" ht="15.75" customHeight="1">
      <c r="A191" s="6"/>
      <c r="B191" s="6"/>
      <c r="C191" s="6"/>
      <c r="D191" s="6"/>
    </row>
    <row r="192" ht="15.75" customHeight="1">
      <c r="A192" s="6"/>
      <c r="B192" s="6"/>
      <c r="C192" s="6"/>
      <c r="D192" s="6"/>
    </row>
    <row r="193" ht="15.75" customHeight="1">
      <c r="A193" s="6"/>
      <c r="B193" s="6"/>
      <c r="C193" s="6"/>
      <c r="D193" s="6"/>
    </row>
    <row r="194" ht="15.75" customHeight="1">
      <c r="A194" s="6"/>
      <c r="B194" s="6"/>
      <c r="C194" s="6"/>
      <c r="D194" s="6"/>
    </row>
    <row r="195" ht="15.75" customHeight="1">
      <c r="A195" s="6"/>
      <c r="B195" s="6"/>
      <c r="C195" s="6"/>
      <c r="D195" s="6"/>
    </row>
    <row r="196" ht="15.75" customHeight="1">
      <c r="A196" s="6"/>
      <c r="B196" s="6"/>
      <c r="C196" s="6"/>
      <c r="D196" s="6"/>
    </row>
    <row r="197" ht="15.75" customHeight="1">
      <c r="A197" s="6"/>
      <c r="B197" s="6"/>
      <c r="C197" s="6"/>
      <c r="D197" s="6"/>
    </row>
    <row r="198" ht="15.75" customHeight="1">
      <c r="A198" s="6"/>
      <c r="B198" s="6"/>
      <c r="C198" s="6"/>
      <c r="D198" s="6"/>
    </row>
    <row r="199" ht="15.75" customHeight="1">
      <c r="A199" s="6"/>
      <c r="B199" s="6"/>
      <c r="C199" s="6"/>
      <c r="D199" s="6"/>
    </row>
    <row r="200" ht="15.75" customHeight="1">
      <c r="A200" s="6"/>
      <c r="B200" s="6"/>
      <c r="C200" s="6"/>
      <c r="D200" s="6"/>
    </row>
    <row r="201" ht="15.75" customHeight="1">
      <c r="A201" s="6"/>
      <c r="B201" s="6"/>
      <c r="C201" s="6"/>
      <c r="D201" s="6"/>
    </row>
    <row r="202" ht="15.75" customHeight="1">
      <c r="A202" s="6"/>
      <c r="B202" s="6"/>
      <c r="C202" s="6"/>
      <c r="D202" s="6"/>
    </row>
    <row r="203" ht="15.75" customHeight="1">
      <c r="A203" s="6"/>
      <c r="B203" s="6"/>
      <c r="C203" s="6"/>
      <c r="D203" s="6"/>
    </row>
    <row r="204" ht="15.75" customHeight="1">
      <c r="A204" s="6"/>
      <c r="B204" s="6"/>
      <c r="C204" s="6"/>
      <c r="D204" s="6"/>
    </row>
    <row r="205" ht="15.75" customHeight="1">
      <c r="A205" s="6"/>
      <c r="B205" s="6"/>
      <c r="C205" s="6"/>
      <c r="D205" s="6"/>
    </row>
    <row r="206" ht="15.75" customHeight="1">
      <c r="A206" s="6"/>
      <c r="B206" s="6"/>
      <c r="C206" s="6"/>
      <c r="D206" s="6"/>
    </row>
    <row r="207" ht="15.75" customHeight="1">
      <c r="A207" s="6"/>
      <c r="B207" s="6"/>
      <c r="C207" s="6"/>
      <c r="D207" s="6"/>
    </row>
    <row r="208" ht="15.75" customHeight="1">
      <c r="A208" s="6"/>
      <c r="B208" s="6"/>
      <c r="C208" s="6"/>
      <c r="D208" s="6"/>
    </row>
    <row r="209" ht="15.75" customHeight="1">
      <c r="A209" s="6"/>
      <c r="B209" s="6"/>
      <c r="C209" s="6"/>
      <c r="D209" s="6"/>
    </row>
    <row r="210" ht="15.75" customHeight="1">
      <c r="A210" s="6"/>
      <c r="B210" s="6"/>
      <c r="C210" s="6"/>
      <c r="D210" s="6"/>
    </row>
    <row r="211" ht="15.75" customHeight="1">
      <c r="A211" s="6"/>
      <c r="B211" s="6"/>
      <c r="C211" s="6"/>
      <c r="D211" s="6"/>
    </row>
    <row r="212" ht="15.75" customHeight="1">
      <c r="A212" s="6"/>
      <c r="B212" s="6"/>
      <c r="C212" s="6"/>
      <c r="D212" s="6"/>
    </row>
    <row r="213" ht="15.75" customHeight="1">
      <c r="A213" s="6"/>
      <c r="B213" s="6"/>
      <c r="C213" s="6"/>
      <c r="D213" s="6"/>
    </row>
    <row r="214" ht="15.75" customHeight="1">
      <c r="A214" s="6"/>
      <c r="B214" s="6"/>
      <c r="C214" s="6"/>
      <c r="D214" s="6"/>
    </row>
    <row r="215" ht="15.75" customHeight="1">
      <c r="A215" s="6"/>
      <c r="B215" s="6"/>
      <c r="C215" s="6"/>
      <c r="D215" s="6"/>
    </row>
    <row r="216" ht="15.75" customHeight="1">
      <c r="A216" s="6"/>
      <c r="B216" s="6"/>
      <c r="C216" s="6"/>
      <c r="D216" s="6"/>
    </row>
    <row r="217" ht="15.75" customHeight="1">
      <c r="A217" s="6"/>
      <c r="B217" s="6"/>
      <c r="C217" s="6"/>
      <c r="D217" s="6"/>
    </row>
    <row r="218" ht="15.75" customHeight="1">
      <c r="A218" s="6"/>
      <c r="B218" s="6"/>
      <c r="C218" s="6"/>
      <c r="D218" s="6"/>
    </row>
    <row r="219" ht="15.75" customHeight="1">
      <c r="A219" s="6"/>
      <c r="B219" s="6"/>
      <c r="C219" s="6"/>
      <c r="D219" s="6"/>
    </row>
    <row r="220" ht="15.75" customHeight="1">
      <c r="A220" s="6"/>
      <c r="B220" s="6"/>
      <c r="C220" s="6"/>
      <c r="D220" s="6"/>
    </row>
    <row r="221" ht="15.75" customHeight="1">
      <c r="A221" s="6"/>
      <c r="B221" s="6"/>
      <c r="C221" s="6"/>
      <c r="D221" s="6"/>
    </row>
    <row r="222" ht="15.75" customHeight="1">
      <c r="A222" s="6"/>
      <c r="B222" s="6"/>
      <c r="C222" s="6"/>
      <c r="D222" s="6"/>
    </row>
    <row r="223" ht="15.75" customHeight="1">
      <c r="A223" s="6"/>
      <c r="B223" s="6"/>
      <c r="C223" s="6"/>
      <c r="D223" s="6"/>
    </row>
    <row r="224" ht="15.75" customHeight="1">
      <c r="A224" s="6"/>
      <c r="B224" s="6"/>
      <c r="C224" s="6"/>
      <c r="D224" s="6"/>
    </row>
    <row r="225" ht="15.75" customHeight="1">
      <c r="A225" s="6"/>
      <c r="B225" s="6"/>
      <c r="C225" s="6"/>
      <c r="D225" s="6"/>
    </row>
    <row r="226" ht="15.75" customHeight="1">
      <c r="A226" s="6"/>
      <c r="B226" s="6"/>
      <c r="C226" s="6"/>
      <c r="D226" s="6"/>
    </row>
    <row r="227" ht="15.75" customHeight="1">
      <c r="A227" s="6"/>
      <c r="B227" s="6"/>
      <c r="C227" s="6"/>
      <c r="D227" s="6"/>
    </row>
    <row r="228" ht="15.75" customHeight="1">
      <c r="A228" s="6"/>
      <c r="B228" s="6"/>
      <c r="C228" s="6"/>
      <c r="D228" s="6"/>
    </row>
    <row r="229" ht="15.75" customHeight="1">
      <c r="A229" s="6"/>
      <c r="B229" s="6"/>
      <c r="C229" s="6"/>
      <c r="D229" s="6"/>
    </row>
    <row r="230" ht="15.75" customHeight="1">
      <c r="A230" s="6"/>
      <c r="B230" s="6"/>
      <c r="C230" s="6"/>
      <c r="D230" s="6"/>
    </row>
    <row r="231" ht="15.75" customHeight="1">
      <c r="A231" s="6"/>
      <c r="B231" s="6"/>
      <c r="C231" s="6"/>
      <c r="D231" s="6"/>
    </row>
    <row r="232" ht="15.75" customHeight="1">
      <c r="A232" s="6"/>
      <c r="B232" s="6"/>
      <c r="C232" s="6"/>
      <c r="D232" s="6"/>
    </row>
    <row r="233" ht="15.75" customHeight="1">
      <c r="A233" s="6"/>
      <c r="B233" s="6"/>
      <c r="C233" s="6"/>
      <c r="D233" s="6"/>
    </row>
    <row r="234" ht="15.75" customHeight="1">
      <c r="A234" s="6"/>
      <c r="B234" s="6"/>
      <c r="C234" s="6"/>
      <c r="D234" s="6"/>
    </row>
    <row r="235" ht="15.75" customHeight="1">
      <c r="A235" s="6"/>
      <c r="B235" s="6"/>
      <c r="C235" s="6"/>
      <c r="D235" s="6"/>
    </row>
    <row r="236" ht="15.75" customHeight="1">
      <c r="A236" s="6"/>
      <c r="B236" s="6"/>
      <c r="C236" s="6"/>
      <c r="D236" s="6"/>
    </row>
    <row r="237" ht="15.75" customHeight="1">
      <c r="A237" s="6"/>
      <c r="B237" s="6"/>
      <c r="C237" s="6"/>
      <c r="D237" s="6"/>
    </row>
    <row r="238" ht="15.75" customHeight="1">
      <c r="A238" s="6"/>
      <c r="B238" s="6"/>
      <c r="C238" s="6"/>
      <c r="D238" s="6"/>
    </row>
    <row r="239" ht="15.75" customHeight="1">
      <c r="A239" s="6"/>
      <c r="B239" s="6"/>
      <c r="C239" s="6"/>
      <c r="D239" s="6"/>
    </row>
    <row r="240" ht="15.75" customHeight="1">
      <c r="A240" s="6"/>
      <c r="B240" s="6"/>
      <c r="C240" s="6"/>
      <c r="D240" s="6"/>
    </row>
    <row r="241" ht="15.75" customHeight="1">
      <c r="A241" s="6"/>
      <c r="B241" s="6"/>
      <c r="C241" s="6"/>
      <c r="D241" s="6"/>
    </row>
    <row r="242" ht="15.75" customHeight="1">
      <c r="A242" s="6"/>
      <c r="B242" s="6"/>
      <c r="C242" s="6"/>
      <c r="D242" s="6"/>
    </row>
    <row r="243" ht="15.75" customHeight="1">
      <c r="A243" s="6"/>
      <c r="B243" s="6"/>
      <c r="C243" s="6"/>
      <c r="D243" s="6"/>
    </row>
    <row r="244" ht="15.75" customHeight="1">
      <c r="A244" s="6"/>
      <c r="B244" s="6"/>
      <c r="C244" s="6"/>
      <c r="D244" s="6"/>
    </row>
    <row r="245" ht="15.75" customHeight="1">
      <c r="A245" s="6"/>
      <c r="B245" s="6"/>
      <c r="C245" s="6"/>
      <c r="D245" s="6"/>
    </row>
    <row r="246" ht="15.75" customHeight="1">
      <c r="A246" s="6"/>
      <c r="B246" s="6"/>
      <c r="C246" s="6"/>
      <c r="D246" s="6"/>
    </row>
    <row r="247" ht="15.75" customHeight="1">
      <c r="A247" s="6"/>
      <c r="B247" s="6"/>
      <c r="C247" s="6"/>
      <c r="D247" s="6"/>
    </row>
    <row r="248" ht="15.75" customHeight="1">
      <c r="A248" s="6"/>
      <c r="B248" s="6"/>
      <c r="C248" s="6"/>
      <c r="D248" s="6"/>
    </row>
    <row r="249" ht="15.75" customHeight="1">
      <c r="A249" s="6"/>
      <c r="B249" s="6"/>
      <c r="C249" s="6"/>
      <c r="D249" s="6"/>
    </row>
    <row r="250" ht="15.75" customHeight="1">
      <c r="A250" s="6"/>
      <c r="B250" s="6"/>
      <c r="C250" s="6"/>
      <c r="D250" s="6"/>
    </row>
    <row r="251" ht="15.75" customHeight="1">
      <c r="A251" s="6"/>
      <c r="B251" s="6"/>
      <c r="C251" s="6"/>
      <c r="D251" s="6"/>
    </row>
    <row r="252" ht="15.75" customHeight="1">
      <c r="A252" s="6"/>
      <c r="B252" s="6"/>
      <c r="C252" s="6"/>
      <c r="D252" s="6"/>
    </row>
    <row r="253" ht="15.75" customHeight="1">
      <c r="A253" s="6"/>
      <c r="B253" s="6"/>
      <c r="C253" s="6"/>
      <c r="D253" s="6"/>
    </row>
    <row r="254" ht="15.75" customHeight="1">
      <c r="A254" s="6"/>
      <c r="B254" s="6"/>
      <c r="C254" s="6"/>
      <c r="D254" s="6"/>
    </row>
    <row r="255" ht="15.75" customHeight="1">
      <c r="A255" s="6"/>
      <c r="B255" s="6"/>
      <c r="C255" s="6"/>
      <c r="D255" s="6"/>
    </row>
    <row r="256" ht="15.75" customHeight="1">
      <c r="A256" s="6"/>
      <c r="B256" s="6"/>
      <c r="C256" s="6"/>
      <c r="D256" s="6"/>
    </row>
    <row r="257" ht="15.75" customHeight="1">
      <c r="A257" s="6"/>
      <c r="B257" s="6"/>
      <c r="C257" s="6"/>
      <c r="D257" s="6"/>
    </row>
    <row r="258" ht="15.75" customHeight="1">
      <c r="A258" s="6"/>
      <c r="B258" s="6"/>
      <c r="C258" s="6"/>
      <c r="D258" s="6"/>
    </row>
    <row r="259" ht="15.75" customHeight="1">
      <c r="A259" s="6"/>
      <c r="B259" s="6"/>
      <c r="C259" s="6"/>
      <c r="D259" s="6"/>
    </row>
    <row r="260" ht="15.75" customHeight="1">
      <c r="A260" s="6"/>
      <c r="B260" s="6"/>
      <c r="C260" s="6"/>
      <c r="D260" s="6"/>
    </row>
    <row r="261" ht="15.75" customHeight="1">
      <c r="A261" s="6"/>
      <c r="B261" s="6"/>
      <c r="C261" s="6"/>
      <c r="D261" s="6"/>
    </row>
    <row r="262" ht="15.75" customHeight="1">
      <c r="A262" s="6"/>
      <c r="B262" s="6"/>
      <c r="C262" s="6"/>
      <c r="D262" s="6"/>
    </row>
    <row r="263" ht="15.75" customHeight="1">
      <c r="A263" s="6"/>
      <c r="B263" s="6"/>
      <c r="C263" s="6"/>
      <c r="D263" s="6"/>
    </row>
    <row r="264" ht="15.75" customHeight="1">
      <c r="A264" s="6"/>
      <c r="B264" s="6"/>
      <c r="C264" s="6"/>
      <c r="D264" s="6"/>
    </row>
    <row r="265" ht="15.75" customHeight="1">
      <c r="A265" s="6"/>
      <c r="B265" s="6"/>
      <c r="C265" s="6"/>
      <c r="D265" s="6"/>
    </row>
    <row r="266" ht="15.75" customHeight="1">
      <c r="A266" s="6"/>
      <c r="B266" s="6"/>
      <c r="C266" s="6"/>
      <c r="D266" s="6"/>
    </row>
    <row r="267" ht="15.75" customHeight="1">
      <c r="A267" s="6"/>
      <c r="B267" s="6"/>
      <c r="C267" s="6"/>
      <c r="D267" s="6"/>
    </row>
    <row r="268" ht="15.75" customHeight="1">
      <c r="A268" s="6"/>
      <c r="B268" s="6"/>
      <c r="C268" s="6"/>
      <c r="D268" s="6"/>
    </row>
    <row r="269" ht="15.75" customHeight="1">
      <c r="A269" s="6"/>
      <c r="B269" s="6"/>
      <c r="C269" s="6"/>
      <c r="D269" s="6"/>
    </row>
    <row r="270" ht="15.75" customHeight="1">
      <c r="A270" s="6"/>
      <c r="B270" s="6"/>
      <c r="C270" s="6"/>
      <c r="D270" s="6"/>
    </row>
    <row r="271" ht="15.75" customHeight="1">
      <c r="A271" s="6"/>
      <c r="B271" s="6"/>
      <c r="C271" s="6"/>
      <c r="D271" s="6"/>
    </row>
    <row r="272" ht="15.75" customHeight="1">
      <c r="A272" s="6"/>
      <c r="B272" s="6"/>
      <c r="C272" s="6"/>
      <c r="D272" s="6"/>
    </row>
    <row r="273" ht="15.75" customHeight="1">
      <c r="A273" s="6"/>
      <c r="B273" s="6"/>
      <c r="C273" s="6"/>
      <c r="D273" s="6"/>
    </row>
    <row r="274" ht="15.75" customHeight="1">
      <c r="A274" s="6"/>
      <c r="B274" s="6"/>
      <c r="C274" s="6"/>
      <c r="D274" s="6"/>
    </row>
    <row r="275" ht="15.75" customHeight="1">
      <c r="A275" s="6"/>
      <c r="B275" s="6"/>
      <c r="C275" s="6"/>
      <c r="D275" s="6"/>
    </row>
    <row r="276" ht="15.75" customHeight="1">
      <c r="A276" s="6"/>
      <c r="B276" s="6"/>
      <c r="C276" s="6"/>
      <c r="D276" s="6"/>
    </row>
    <row r="277" ht="15.75" customHeight="1">
      <c r="A277" s="6"/>
      <c r="B277" s="6"/>
      <c r="C277" s="6"/>
      <c r="D277" s="6"/>
    </row>
    <row r="278" ht="15.75" customHeight="1">
      <c r="A278" s="6"/>
      <c r="B278" s="6"/>
      <c r="C278" s="6"/>
      <c r="D278" s="6"/>
    </row>
    <row r="279" ht="15.75" customHeight="1">
      <c r="A279" s="6"/>
      <c r="B279" s="6"/>
      <c r="C279" s="6"/>
      <c r="D279" s="6"/>
    </row>
    <row r="280" ht="15.75" customHeight="1">
      <c r="A280" s="6"/>
      <c r="B280" s="6"/>
      <c r="C280" s="6"/>
      <c r="D280" s="6"/>
    </row>
    <row r="281" ht="15.75" customHeight="1">
      <c r="A281" s="6"/>
      <c r="B281" s="6"/>
      <c r="C281" s="6"/>
      <c r="D281" s="6"/>
    </row>
    <row r="282" ht="15.75" customHeight="1">
      <c r="A282" s="6"/>
      <c r="B282" s="6"/>
      <c r="C282" s="6"/>
      <c r="D282" s="6"/>
    </row>
    <row r="283" ht="15.75" customHeight="1">
      <c r="A283" s="6"/>
      <c r="B283" s="6"/>
      <c r="C283" s="6"/>
      <c r="D283" s="6"/>
    </row>
    <row r="284" ht="15.75" customHeight="1">
      <c r="A284" s="6"/>
      <c r="B284" s="6"/>
      <c r="C284" s="6"/>
      <c r="D284" s="6"/>
    </row>
    <row r="285" ht="15.75" customHeight="1">
      <c r="A285" s="6"/>
      <c r="B285" s="6"/>
      <c r="C285" s="6"/>
      <c r="D285" s="6"/>
    </row>
    <row r="286" ht="15.75" customHeight="1">
      <c r="A286" s="6"/>
      <c r="B286" s="6"/>
      <c r="C286" s="6"/>
      <c r="D286" s="6"/>
    </row>
    <row r="287" ht="15.75" customHeight="1">
      <c r="A287" s="6"/>
      <c r="B287" s="6"/>
      <c r="C287" s="6"/>
      <c r="D287" s="6"/>
    </row>
    <row r="288" ht="15.75" customHeight="1">
      <c r="A288" s="6"/>
      <c r="B288" s="6"/>
      <c r="C288" s="6"/>
      <c r="D288" s="6"/>
    </row>
    <row r="289" ht="15.75" customHeight="1">
      <c r="A289" s="6"/>
      <c r="B289" s="6"/>
      <c r="C289" s="6"/>
      <c r="D289" s="6"/>
    </row>
    <row r="290" ht="15.75" customHeight="1">
      <c r="A290" s="6"/>
      <c r="B290" s="6"/>
      <c r="C290" s="6"/>
      <c r="D290" s="6"/>
    </row>
    <row r="291" ht="15.75" customHeight="1">
      <c r="A291" s="6"/>
      <c r="B291" s="6"/>
      <c r="C291" s="6"/>
      <c r="D291" s="6"/>
    </row>
    <row r="292" ht="15.75" customHeight="1">
      <c r="A292" s="6"/>
      <c r="B292" s="6"/>
      <c r="C292" s="6"/>
      <c r="D292" s="6"/>
    </row>
    <row r="293" ht="15.75" customHeight="1">
      <c r="A293" s="6"/>
      <c r="B293" s="6"/>
      <c r="C293" s="6"/>
      <c r="D293" s="6"/>
    </row>
    <row r="294" ht="15.75" customHeight="1">
      <c r="A294" s="6"/>
      <c r="B294" s="6"/>
      <c r="C294" s="6"/>
      <c r="D294" s="6"/>
    </row>
    <row r="295" ht="15.75" customHeight="1">
      <c r="A295" s="6"/>
      <c r="B295" s="6"/>
      <c r="C295" s="6"/>
      <c r="D295" s="6"/>
    </row>
    <row r="296" ht="15.75" customHeight="1">
      <c r="A296" s="6"/>
      <c r="B296" s="6"/>
      <c r="C296" s="6"/>
      <c r="D296" s="6"/>
    </row>
    <row r="297" ht="15.75" customHeight="1">
      <c r="A297" s="6"/>
      <c r="B297" s="6"/>
      <c r="C297" s="6"/>
      <c r="D297" s="6"/>
    </row>
    <row r="298" ht="15.75" customHeight="1">
      <c r="A298" s="6"/>
      <c r="B298" s="6"/>
      <c r="C298" s="6"/>
      <c r="D298" s="6"/>
    </row>
    <row r="299" ht="15.75" customHeight="1">
      <c r="A299" s="6"/>
      <c r="B299" s="6"/>
      <c r="C299" s="6"/>
      <c r="D299" s="6"/>
    </row>
    <row r="300" ht="15.75" customHeight="1">
      <c r="A300" s="6"/>
      <c r="B300" s="6"/>
      <c r="C300" s="6"/>
      <c r="D300" s="6"/>
    </row>
    <row r="301" ht="15.75" customHeight="1">
      <c r="A301" s="6"/>
      <c r="B301" s="6"/>
      <c r="C301" s="6"/>
      <c r="D301" s="6"/>
    </row>
    <row r="302" ht="15.75" customHeight="1">
      <c r="A302" s="6"/>
      <c r="B302" s="6"/>
      <c r="C302" s="6"/>
      <c r="D302" s="6"/>
    </row>
    <row r="303" ht="15.75" customHeight="1">
      <c r="A303" s="6"/>
      <c r="B303" s="6"/>
      <c r="C303" s="6"/>
      <c r="D303" s="6"/>
    </row>
    <row r="304" ht="15.75" customHeight="1">
      <c r="A304" s="6"/>
      <c r="B304" s="6"/>
      <c r="C304" s="6"/>
      <c r="D304" s="6"/>
    </row>
    <row r="305" ht="15.75" customHeight="1">
      <c r="A305" s="6"/>
      <c r="B305" s="6"/>
      <c r="C305" s="6"/>
      <c r="D305" s="6"/>
    </row>
    <row r="306" ht="15.75" customHeight="1">
      <c r="A306" s="6"/>
      <c r="B306" s="6"/>
      <c r="C306" s="6"/>
      <c r="D306" s="6"/>
    </row>
    <row r="307" ht="15.75" customHeight="1">
      <c r="A307" s="6"/>
      <c r="B307" s="6"/>
      <c r="C307" s="6"/>
      <c r="D307" s="6"/>
    </row>
    <row r="308" ht="15.75" customHeight="1">
      <c r="A308" s="6"/>
      <c r="B308" s="6"/>
      <c r="C308" s="6"/>
      <c r="D308" s="6"/>
    </row>
    <row r="309" ht="15.75" customHeight="1">
      <c r="A309" s="6"/>
      <c r="B309" s="6"/>
      <c r="C309" s="6"/>
      <c r="D309" s="6"/>
    </row>
    <row r="310" ht="15.75" customHeight="1">
      <c r="A310" s="6"/>
      <c r="B310" s="6"/>
      <c r="C310" s="6"/>
      <c r="D310" s="6"/>
    </row>
    <row r="311" ht="15.75" customHeight="1">
      <c r="A311" s="6"/>
      <c r="B311" s="6"/>
      <c r="C311" s="6"/>
      <c r="D311" s="6"/>
    </row>
    <row r="312" ht="15.75" customHeight="1">
      <c r="A312" s="6"/>
      <c r="B312" s="6"/>
      <c r="C312" s="6"/>
      <c r="D312" s="6"/>
    </row>
    <row r="313" ht="15.75" customHeight="1">
      <c r="A313" s="6"/>
      <c r="B313" s="6"/>
      <c r="C313" s="6"/>
      <c r="D313" s="6"/>
    </row>
    <row r="314" ht="15.75" customHeight="1">
      <c r="A314" s="6"/>
      <c r="B314" s="6"/>
      <c r="C314" s="6"/>
      <c r="D314" s="6"/>
    </row>
    <row r="315" ht="15.75" customHeight="1">
      <c r="A315" s="6"/>
      <c r="B315" s="6"/>
      <c r="C315" s="6"/>
      <c r="D315" s="6"/>
    </row>
    <row r="316" ht="15.75" customHeight="1">
      <c r="A316" s="6"/>
      <c r="B316" s="6"/>
      <c r="C316" s="6"/>
      <c r="D316" s="6"/>
    </row>
    <row r="317" ht="15.75" customHeight="1">
      <c r="A317" s="6"/>
      <c r="B317" s="6"/>
      <c r="C317" s="6"/>
      <c r="D317" s="6"/>
    </row>
    <row r="318" ht="15.75" customHeight="1">
      <c r="A318" s="6"/>
      <c r="B318" s="6"/>
      <c r="C318" s="6"/>
      <c r="D318" s="6"/>
    </row>
    <row r="319" ht="15.75" customHeight="1">
      <c r="A319" s="6"/>
      <c r="B319" s="6"/>
      <c r="C319" s="6"/>
      <c r="D319" s="6"/>
    </row>
    <row r="320" ht="15.75" customHeight="1">
      <c r="A320" s="6"/>
      <c r="B320" s="6"/>
      <c r="C320" s="6"/>
      <c r="D320" s="6"/>
    </row>
    <row r="321" ht="15.75" customHeight="1">
      <c r="A321" s="6"/>
      <c r="B321" s="6"/>
      <c r="C321" s="6"/>
      <c r="D321" s="6"/>
    </row>
    <row r="322" ht="15.75" customHeight="1">
      <c r="A322" s="6"/>
      <c r="B322" s="6"/>
      <c r="C322" s="6"/>
      <c r="D322" s="6"/>
    </row>
    <row r="323" ht="15.75" customHeight="1">
      <c r="A323" s="6"/>
      <c r="B323" s="6"/>
      <c r="C323" s="6"/>
      <c r="D323" s="6"/>
    </row>
    <row r="324" ht="15.75" customHeight="1">
      <c r="A324" s="6"/>
      <c r="B324" s="6"/>
      <c r="C324" s="6"/>
      <c r="D324" s="6"/>
    </row>
    <row r="325" ht="15.75" customHeight="1">
      <c r="A325" s="6"/>
      <c r="B325" s="6"/>
      <c r="C325" s="6"/>
      <c r="D325" s="6"/>
    </row>
    <row r="326" ht="15.75" customHeight="1">
      <c r="A326" s="6"/>
      <c r="B326" s="6"/>
      <c r="C326" s="6"/>
      <c r="D326" s="6"/>
    </row>
    <row r="327" ht="15.75" customHeight="1">
      <c r="A327" s="6"/>
      <c r="B327" s="6"/>
      <c r="C327" s="6"/>
      <c r="D327" s="6"/>
    </row>
    <row r="328" ht="15.75" customHeight="1">
      <c r="A328" s="6"/>
      <c r="B328" s="6"/>
      <c r="C328" s="6"/>
      <c r="D328" s="6"/>
    </row>
    <row r="329" ht="15.75" customHeight="1">
      <c r="A329" s="6"/>
      <c r="B329" s="6"/>
      <c r="C329" s="6"/>
      <c r="D329" s="6"/>
    </row>
    <row r="330" ht="15.75" customHeight="1">
      <c r="A330" s="6"/>
      <c r="B330" s="6"/>
      <c r="C330" s="6"/>
      <c r="D330" s="6"/>
    </row>
    <row r="331" ht="15.75" customHeight="1">
      <c r="A331" s="6"/>
      <c r="B331" s="6"/>
      <c r="C331" s="6"/>
      <c r="D331" s="6"/>
    </row>
    <row r="332" ht="15.75" customHeight="1">
      <c r="A332" s="6"/>
      <c r="B332" s="6"/>
      <c r="C332" s="6"/>
      <c r="D332" s="6"/>
    </row>
    <row r="333" ht="15.75" customHeight="1">
      <c r="A333" s="6"/>
      <c r="B333" s="6"/>
      <c r="C333" s="6"/>
      <c r="D333" s="6"/>
    </row>
    <row r="334" ht="15.75" customHeight="1">
      <c r="A334" s="6"/>
      <c r="B334" s="6"/>
      <c r="C334" s="6"/>
      <c r="D334" s="6"/>
    </row>
    <row r="335" ht="15.75" customHeight="1">
      <c r="A335" s="6"/>
      <c r="B335" s="6"/>
      <c r="C335" s="6"/>
      <c r="D335" s="6"/>
    </row>
    <row r="336" ht="15.75" customHeight="1">
      <c r="A336" s="6"/>
      <c r="B336" s="6"/>
      <c r="C336" s="6"/>
      <c r="D336" s="6"/>
    </row>
    <row r="337" ht="15.75" customHeight="1">
      <c r="A337" s="6"/>
      <c r="B337" s="6"/>
      <c r="C337" s="6"/>
      <c r="D337" s="6"/>
    </row>
    <row r="338" ht="15.75" customHeight="1">
      <c r="A338" s="6"/>
      <c r="B338" s="6"/>
      <c r="C338" s="6"/>
      <c r="D338" s="6"/>
    </row>
    <row r="339" ht="15.75" customHeight="1">
      <c r="A339" s="6"/>
      <c r="B339" s="6"/>
      <c r="C339" s="6"/>
      <c r="D339" s="6"/>
    </row>
    <row r="340" ht="15.75" customHeight="1">
      <c r="A340" s="6"/>
      <c r="B340" s="6"/>
      <c r="C340" s="6"/>
      <c r="D340" s="6"/>
    </row>
    <row r="341" ht="15.75" customHeight="1">
      <c r="A341" s="6"/>
      <c r="B341" s="6"/>
      <c r="C341" s="6"/>
      <c r="D341" s="6"/>
    </row>
    <row r="342" ht="15.75" customHeight="1">
      <c r="A342" s="6"/>
      <c r="B342" s="6"/>
      <c r="C342" s="6"/>
      <c r="D342" s="6"/>
    </row>
    <row r="343" ht="15.75" customHeight="1">
      <c r="A343" s="6"/>
      <c r="B343" s="6"/>
      <c r="C343" s="6"/>
      <c r="D343" s="6"/>
    </row>
    <row r="344" ht="15.75" customHeight="1">
      <c r="A344" s="6"/>
      <c r="B344" s="6"/>
      <c r="C344" s="6"/>
      <c r="D344" s="6"/>
    </row>
    <row r="345" ht="15.75" customHeight="1">
      <c r="A345" s="6"/>
      <c r="B345" s="6"/>
      <c r="C345" s="6"/>
      <c r="D345" s="6"/>
    </row>
    <row r="346" ht="15.75" customHeight="1">
      <c r="A346" s="6"/>
      <c r="B346" s="6"/>
      <c r="C346" s="6"/>
      <c r="D346" s="6"/>
    </row>
    <row r="347" ht="15.75" customHeight="1">
      <c r="A347" s="6"/>
      <c r="B347" s="6"/>
      <c r="C347" s="6"/>
      <c r="D347" s="6"/>
    </row>
    <row r="348" ht="15.75" customHeight="1">
      <c r="A348" s="6"/>
      <c r="B348" s="6"/>
      <c r="C348" s="6"/>
      <c r="D348" s="6"/>
    </row>
    <row r="349" ht="15.75" customHeight="1">
      <c r="A349" s="6"/>
      <c r="B349" s="6"/>
      <c r="C349" s="6"/>
      <c r="D349" s="6"/>
    </row>
    <row r="350" ht="15.75" customHeight="1">
      <c r="A350" s="6"/>
      <c r="B350" s="6"/>
      <c r="C350" s="6"/>
      <c r="D350" s="6"/>
    </row>
    <row r="351" ht="15.75" customHeight="1">
      <c r="A351" s="6"/>
      <c r="B351" s="6"/>
      <c r="C351" s="6"/>
      <c r="D351" s="6"/>
    </row>
    <row r="352" ht="15.75" customHeight="1">
      <c r="A352" s="6"/>
      <c r="B352" s="6"/>
      <c r="C352" s="6"/>
      <c r="D352" s="6"/>
    </row>
    <row r="353" ht="15.75" customHeight="1">
      <c r="A353" s="6"/>
      <c r="B353" s="6"/>
      <c r="C353" s="6"/>
      <c r="D353" s="6"/>
    </row>
    <row r="354" ht="15.75" customHeight="1">
      <c r="A354" s="6"/>
      <c r="B354" s="6"/>
      <c r="C354" s="6"/>
      <c r="D354" s="6"/>
    </row>
    <row r="355" ht="15.75" customHeight="1">
      <c r="A355" s="6"/>
      <c r="B355" s="6"/>
      <c r="C355" s="6"/>
      <c r="D355" s="6"/>
    </row>
    <row r="356" ht="15.75" customHeight="1">
      <c r="A356" s="6"/>
      <c r="B356" s="6"/>
      <c r="C356" s="6"/>
      <c r="D356" s="6"/>
    </row>
    <row r="357" ht="15.75" customHeight="1">
      <c r="A357" s="6"/>
      <c r="B357" s="6"/>
      <c r="C357" s="6"/>
      <c r="D357" s="6"/>
    </row>
    <row r="358" ht="15.75" customHeight="1">
      <c r="A358" s="6"/>
      <c r="B358" s="6"/>
      <c r="C358" s="6"/>
      <c r="D358" s="6"/>
    </row>
    <row r="359" ht="15.75" customHeight="1">
      <c r="A359" s="6"/>
      <c r="B359" s="6"/>
      <c r="C359" s="6"/>
      <c r="D359" s="6"/>
    </row>
    <row r="360" ht="15.75" customHeight="1">
      <c r="A360" s="6"/>
      <c r="B360" s="6"/>
      <c r="C360" s="6"/>
      <c r="D360" s="6"/>
    </row>
    <row r="361" ht="15.75" customHeight="1">
      <c r="A361" s="6"/>
      <c r="B361" s="6"/>
      <c r="C361" s="6"/>
      <c r="D361" s="6"/>
    </row>
    <row r="362" ht="15.75" customHeight="1">
      <c r="A362" s="6"/>
      <c r="B362" s="6"/>
      <c r="C362" s="6"/>
      <c r="D362" s="6"/>
    </row>
    <row r="363" ht="15.75" customHeight="1">
      <c r="A363" s="6"/>
      <c r="B363" s="6"/>
      <c r="C363" s="6"/>
      <c r="D363" s="6"/>
    </row>
    <row r="364" ht="15.75" customHeight="1">
      <c r="A364" s="6"/>
      <c r="B364" s="6"/>
      <c r="C364" s="6"/>
      <c r="D364" s="6"/>
    </row>
    <row r="365" ht="15.75" customHeight="1">
      <c r="A365" s="6"/>
      <c r="B365" s="6"/>
      <c r="C365" s="6"/>
      <c r="D365" s="6"/>
    </row>
    <row r="366" ht="15.75" customHeight="1">
      <c r="A366" s="6"/>
      <c r="B366" s="6"/>
      <c r="C366" s="6"/>
      <c r="D366" s="6"/>
    </row>
    <row r="367" ht="15.75" customHeight="1">
      <c r="A367" s="6"/>
      <c r="B367" s="6"/>
      <c r="C367" s="6"/>
      <c r="D367" s="6"/>
    </row>
    <row r="368" ht="15.75" customHeight="1">
      <c r="A368" s="6"/>
      <c r="B368" s="6"/>
      <c r="C368" s="6"/>
      <c r="D368" s="6"/>
    </row>
    <row r="369" ht="15.75" customHeight="1">
      <c r="A369" s="6"/>
      <c r="B369" s="6"/>
      <c r="C369" s="6"/>
      <c r="D369" s="6"/>
    </row>
    <row r="370" ht="15.75" customHeight="1">
      <c r="A370" s="6"/>
      <c r="B370" s="6"/>
      <c r="C370" s="6"/>
      <c r="D370" s="6"/>
    </row>
    <row r="371" ht="15.75" customHeight="1">
      <c r="A371" s="6"/>
      <c r="B371" s="6"/>
      <c r="C371" s="6"/>
      <c r="D371" s="6"/>
    </row>
    <row r="372" ht="15.75" customHeight="1">
      <c r="A372" s="6"/>
      <c r="B372" s="6"/>
      <c r="C372" s="6"/>
      <c r="D372" s="6"/>
    </row>
    <row r="373" ht="15.75" customHeight="1">
      <c r="A373" s="6"/>
      <c r="B373" s="6"/>
      <c r="C373" s="6"/>
      <c r="D373" s="6"/>
    </row>
    <row r="374" ht="15.75" customHeight="1">
      <c r="A374" s="6"/>
      <c r="B374" s="6"/>
      <c r="C374" s="6"/>
      <c r="D374" s="6"/>
    </row>
    <row r="375" ht="15.75" customHeight="1">
      <c r="A375" s="6"/>
      <c r="B375" s="6"/>
      <c r="C375" s="6"/>
      <c r="D375" s="6"/>
    </row>
    <row r="376" ht="15.75" customHeight="1">
      <c r="A376" s="6"/>
      <c r="B376" s="6"/>
      <c r="C376" s="6"/>
      <c r="D376" s="6"/>
    </row>
    <row r="377" ht="15.75" customHeight="1">
      <c r="A377" s="6"/>
      <c r="B377" s="6"/>
      <c r="C377" s="6"/>
      <c r="D377" s="6"/>
    </row>
    <row r="378" ht="15.75" customHeight="1">
      <c r="A378" s="6"/>
      <c r="B378" s="6"/>
      <c r="C378" s="6"/>
      <c r="D378" s="6"/>
    </row>
    <row r="379" ht="15.75" customHeight="1">
      <c r="A379" s="6"/>
      <c r="B379" s="6"/>
      <c r="C379" s="6"/>
      <c r="D379" s="6"/>
    </row>
    <row r="380" ht="15.75" customHeight="1">
      <c r="A380" s="6"/>
      <c r="B380" s="6"/>
      <c r="C380" s="6"/>
      <c r="D380" s="6"/>
    </row>
    <row r="381" ht="15.75" customHeight="1">
      <c r="A381" s="6"/>
      <c r="B381" s="6"/>
      <c r="C381" s="6"/>
      <c r="D381" s="6"/>
    </row>
    <row r="382" ht="15.75" customHeight="1">
      <c r="A382" s="6"/>
      <c r="B382" s="6"/>
      <c r="C382" s="6"/>
      <c r="D382" s="6"/>
    </row>
    <row r="383" ht="15.75" customHeight="1">
      <c r="A383" s="6"/>
      <c r="B383" s="6"/>
      <c r="C383" s="6"/>
      <c r="D383" s="6"/>
    </row>
    <row r="384" ht="15.75" customHeight="1">
      <c r="A384" s="6"/>
      <c r="B384" s="6"/>
      <c r="C384" s="6"/>
      <c r="D384" s="6"/>
    </row>
    <row r="385" ht="15.75" customHeight="1">
      <c r="A385" s="6"/>
      <c r="B385" s="6"/>
      <c r="C385" s="6"/>
      <c r="D385" s="6"/>
    </row>
    <row r="386" ht="15.75" customHeight="1">
      <c r="A386" s="6"/>
      <c r="B386" s="6"/>
      <c r="C386" s="6"/>
      <c r="D386" s="6"/>
    </row>
    <row r="387" ht="15.75" customHeight="1">
      <c r="A387" s="6"/>
      <c r="B387" s="6"/>
      <c r="C387" s="6"/>
      <c r="D387" s="6"/>
    </row>
    <row r="388" ht="15.75" customHeight="1">
      <c r="A388" s="6"/>
      <c r="B388" s="6"/>
      <c r="C388" s="6"/>
      <c r="D388" s="6"/>
    </row>
    <row r="389" ht="15.75" customHeight="1">
      <c r="A389" s="6"/>
      <c r="B389" s="6"/>
      <c r="C389" s="6"/>
      <c r="D389" s="6"/>
    </row>
    <row r="390" ht="15.75" customHeight="1">
      <c r="A390" s="6"/>
      <c r="B390" s="6"/>
      <c r="C390" s="6"/>
      <c r="D390" s="6"/>
    </row>
    <row r="391" ht="15.75" customHeight="1">
      <c r="A391" s="6"/>
      <c r="B391" s="6"/>
      <c r="C391" s="6"/>
      <c r="D391" s="6"/>
    </row>
    <row r="392" ht="15.75" customHeight="1">
      <c r="A392" s="6"/>
      <c r="B392" s="6"/>
      <c r="C392" s="6"/>
      <c r="D392" s="6"/>
    </row>
    <row r="393" ht="15.75" customHeight="1">
      <c r="A393" s="6"/>
      <c r="B393" s="6"/>
      <c r="C393" s="6"/>
      <c r="D393" s="6"/>
    </row>
    <row r="394" ht="15.75" customHeight="1">
      <c r="A394" s="6"/>
      <c r="B394" s="6"/>
      <c r="C394" s="6"/>
      <c r="D394" s="6"/>
    </row>
    <row r="395" ht="15.75" customHeight="1">
      <c r="A395" s="6"/>
      <c r="B395" s="6"/>
      <c r="C395" s="6"/>
      <c r="D395" s="6"/>
    </row>
    <row r="396" ht="15.75" customHeight="1">
      <c r="A396" s="6"/>
      <c r="B396" s="6"/>
      <c r="C396" s="6"/>
      <c r="D396" s="6"/>
    </row>
    <row r="397" ht="15.75" customHeight="1">
      <c r="A397" s="6"/>
      <c r="B397" s="6"/>
      <c r="C397" s="6"/>
      <c r="D397" s="6"/>
    </row>
    <row r="398" ht="15.75" customHeight="1">
      <c r="A398" s="6"/>
      <c r="B398" s="6"/>
      <c r="C398" s="6"/>
      <c r="D398" s="6"/>
    </row>
    <row r="399" ht="15.75" customHeight="1">
      <c r="A399" s="6"/>
      <c r="B399" s="6"/>
      <c r="C399" s="6"/>
      <c r="D399" s="6"/>
    </row>
    <row r="400" ht="15.75" customHeight="1">
      <c r="A400" s="6"/>
      <c r="B400" s="6"/>
      <c r="C400" s="6"/>
      <c r="D400" s="6"/>
    </row>
    <row r="401" ht="15.75" customHeight="1">
      <c r="A401" s="6"/>
      <c r="B401" s="6"/>
      <c r="C401" s="6"/>
      <c r="D401" s="6"/>
    </row>
    <row r="402" ht="15.75" customHeight="1">
      <c r="A402" s="6"/>
      <c r="B402" s="6"/>
      <c r="C402" s="6"/>
      <c r="D402" s="6"/>
    </row>
    <row r="403" ht="15.75" customHeight="1">
      <c r="A403" s="6"/>
      <c r="B403" s="6"/>
      <c r="C403" s="6"/>
      <c r="D403" s="6"/>
    </row>
    <row r="404" ht="15.75" customHeight="1">
      <c r="A404" s="6"/>
      <c r="B404" s="6"/>
      <c r="C404" s="6"/>
      <c r="D404" s="6"/>
    </row>
    <row r="405" ht="15.75" customHeight="1">
      <c r="A405" s="6"/>
      <c r="B405" s="6"/>
      <c r="C405" s="6"/>
      <c r="D405" s="6"/>
    </row>
    <row r="406" ht="15.75" customHeight="1">
      <c r="A406" s="6"/>
      <c r="B406" s="6"/>
      <c r="C406" s="6"/>
      <c r="D406" s="6"/>
    </row>
    <row r="407" ht="15.75" customHeight="1">
      <c r="A407" s="6"/>
      <c r="B407" s="6"/>
      <c r="C407" s="6"/>
      <c r="D407" s="6"/>
    </row>
    <row r="408" ht="15.75" customHeight="1">
      <c r="A408" s="6"/>
      <c r="B408" s="6"/>
      <c r="C408" s="6"/>
      <c r="D408" s="6"/>
    </row>
    <row r="409" ht="15.75" customHeight="1">
      <c r="A409" s="6"/>
      <c r="B409" s="6"/>
      <c r="C409" s="6"/>
      <c r="D409" s="6"/>
    </row>
    <row r="410" ht="15.75" customHeight="1">
      <c r="A410" s="6"/>
      <c r="B410" s="6"/>
      <c r="C410" s="6"/>
      <c r="D410" s="6"/>
    </row>
    <row r="411" ht="15.75" customHeight="1">
      <c r="A411" s="6"/>
      <c r="B411" s="6"/>
      <c r="C411" s="6"/>
      <c r="D411" s="6"/>
    </row>
    <row r="412" ht="15.75" customHeight="1">
      <c r="A412" s="6"/>
      <c r="B412" s="6"/>
      <c r="C412" s="6"/>
      <c r="D412" s="6"/>
    </row>
    <row r="413" ht="15.75" customHeight="1">
      <c r="A413" s="6"/>
      <c r="B413" s="6"/>
      <c r="C413" s="6"/>
      <c r="D413" s="6"/>
    </row>
    <row r="414" ht="15.75" customHeight="1">
      <c r="A414" s="6"/>
      <c r="B414" s="6"/>
      <c r="C414" s="6"/>
      <c r="D414" s="6"/>
    </row>
    <row r="415" ht="15.75" customHeight="1">
      <c r="A415" s="6"/>
      <c r="B415" s="6"/>
      <c r="C415" s="6"/>
      <c r="D415" s="6"/>
    </row>
    <row r="416" ht="15.75" customHeight="1">
      <c r="A416" s="6"/>
      <c r="B416" s="6"/>
      <c r="C416" s="6"/>
      <c r="D416" s="6"/>
    </row>
    <row r="417" ht="15.75" customHeight="1">
      <c r="A417" s="6"/>
      <c r="B417" s="6"/>
      <c r="C417" s="6"/>
      <c r="D417" s="6"/>
    </row>
    <row r="418" ht="15.75" customHeight="1">
      <c r="A418" s="6"/>
      <c r="B418" s="6"/>
      <c r="C418" s="6"/>
      <c r="D418" s="6"/>
    </row>
    <row r="419" ht="15.75" customHeight="1">
      <c r="A419" s="6"/>
      <c r="B419" s="6"/>
      <c r="C419" s="6"/>
      <c r="D419" s="6"/>
    </row>
    <row r="420" ht="15.75" customHeight="1">
      <c r="A420" s="6"/>
      <c r="B420" s="6"/>
      <c r="C420" s="6"/>
      <c r="D420" s="6"/>
    </row>
    <row r="421" ht="15.75" customHeight="1">
      <c r="A421" s="6"/>
      <c r="B421" s="6"/>
      <c r="C421" s="6"/>
      <c r="D421" s="6"/>
    </row>
    <row r="422" ht="15.75" customHeight="1">
      <c r="A422" s="6"/>
      <c r="B422" s="6"/>
      <c r="C422" s="6"/>
      <c r="D422" s="6"/>
    </row>
    <row r="423" ht="15.75" customHeight="1">
      <c r="A423" s="6"/>
      <c r="B423" s="6"/>
      <c r="C423" s="6"/>
      <c r="D423" s="6"/>
    </row>
    <row r="424" ht="15.75" customHeight="1">
      <c r="A424" s="6"/>
      <c r="B424" s="6"/>
      <c r="C424" s="6"/>
      <c r="D424" s="6"/>
    </row>
    <row r="425" ht="15.75" customHeight="1">
      <c r="A425" s="6"/>
      <c r="B425" s="6"/>
      <c r="C425" s="6"/>
      <c r="D425" s="6"/>
    </row>
    <row r="426" ht="15.75" customHeight="1">
      <c r="A426" s="6"/>
      <c r="B426" s="6"/>
      <c r="C426" s="6"/>
      <c r="D426" s="6"/>
    </row>
    <row r="427" ht="15.75" customHeight="1">
      <c r="A427" s="6"/>
      <c r="B427" s="6"/>
      <c r="C427" s="6"/>
      <c r="D427" s="6"/>
    </row>
    <row r="428" ht="15.75" customHeight="1">
      <c r="A428" s="6"/>
      <c r="B428" s="6"/>
      <c r="C428" s="6"/>
      <c r="D428" s="6"/>
    </row>
    <row r="429" ht="15.75" customHeight="1">
      <c r="A429" s="6"/>
      <c r="B429" s="6"/>
      <c r="C429" s="6"/>
      <c r="D429" s="6"/>
    </row>
    <row r="430" ht="15.75" customHeight="1">
      <c r="A430" s="6"/>
      <c r="B430" s="6"/>
      <c r="C430" s="6"/>
      <c r="D430" s="6"/>
    </row>
    <row r="431" ht="15.75" customHeight="1">
      <c r="A431" s="6"/>
      <c r="B431" s="6"/>
      <c r="C431" s="6"/>
      <c r="D431" s="6"/>
    </row>
    <row r="432" ht="15.75" customHeight="1">
      <c r="A432" s="6"/>
      <c r="B432" s="6"/>
      <c r="C432" s="6"/>
      <c r="D432" s="6"/>
    </row>
    <row r="433" ht="15.75" customHeight="1">
      <c r="A433" s="6"/>
      <c r="B433" s="6"/>
      <c r="C433" s="6"/>
      <c r="D433" s="6"/>
    </row>
    <row r="434" ht="15.75" customHeight="1">
      <c r="A434" s="6"/>
      <c r="B434" s="6"/>
      <c r="C434" s="6"/>
      <c r="D434" s="6"/>
    </row>
    <row r="435" ht="15.75" customHeight="1">
      <c r="A435" s="6"/>
      <c r="B435" s="6"/>
      <c r="C435" s="6"/>
      <c r="D435" s="6"/>
    </row>
    <row r="436" ht="15.75" customHeight="1">
      <c r="A436" s="6"/>
      <c r="B436" s="6"/>
      <c r="C436" s="6"/>
      <c r="D436" s="6"/>
    </row>
    <row r="437" ht="15.75" customHeight="1">
      <c r="A437" s="6"/>
      <c r="B437" s="6"/>
      <c r="C437" s="6"/>
      <c r="D437" s="6"/>
    </row>
    <row r="438" ht="15.75" customHeight="1">
      <c r="A438" s="6"/>
      <c r="B438" s="6"/>
      <c r="C438" s="6"/>
      <c r="D438" s="6"/>
    </row>
    <row r="439" ht="15.75" customHeight="1">
      <c r="A439" s="6"/>
      <c r="B439" s="6"/>
      <c r="C439" s="6"/>
      <c r="D439" s="6"/>
    </row>
    <row r="440" ht="15.75" customHeight="1">
      <c r="A440" s="6"/>
      <c r="B440" s="6"/>
      <c r="C440" s="6"/>
      <c r="D440" s="6"/>
    </row>
    <row r="441" ht="15.75" customHeight="1">
      <c r="A441" s="6"/>
      <c r="B441" s="6"/>
      <c r="C441" s="6"/>
      <c r="D441" s="6"/>
    </row>
    <row r="442" ht="15.75" customHeight="1">
      <c r="A442" s="6"/>
      <c r="B442" s="6"/>
      <c r="C442" s="6"/>
      <c r="D442" s="6"/>
    </row>
    <row r="443" ht="15.75" customHeight="1">
      <c r="A443" s="6"/>
      <c r="B443" s="6"/>
      <c r="C443" s="6"/>
      <c r="D443" s="6"/>
    </row>
    <row r="444" ht="15.75" customHeight="1">
      <c r="A444" s="6"/>
      <c r="B444" s="6"/>
      <c r="C444" s="6"/>
      <c r="D444" s="6"/>
    </row>
    <row r="445" ht="15.75" customHeight="1">
      <c r="A445" s="6"/>
      <c r="B445" s="6"/>
      <c r="C445" s="6"/>
      <c r="D445" s="6"/>
    </row>
    <row r="446" ht="15.75" customHeight="1">
      <c r="A446" s="6"/>
      <c r="B446" s="6"/>
      <c r="C446" s="6"/>
      <c r="D446" s="6"/>
    </row>
    <row r="447" ht="15.75" customHeight="1">
      <c r="A447" s="6"/>
      <c r="B447" s="6"/>
      <c r="C447" s="6"/>
      <c r="D447" s="6"/>
    </row>
    <row r="448" ht="15.75" customHeight="1">
      <c r="A448" s="6"/>
      <c r="B448" s="6"/>
      <c r="C448" s="6"/>
      <c r="D448" s="6"/>
    </row>
    <row r="449" ht="15.75" customHeight="1">
      <c r="A449" s="6"/>
      <c r="B449" s="6"/>
      <c r="C449" s="6"/>
      <c r="D449" s="6"/>
    </row>
    <row r="450" ht="15.75" customHeight="1">
      <c r="A450" s="6"/>
      <c r="B450" s="6"/>
      <c r="C450" s="6"/>
      <c r="D450" s="6"/>
    </row>
    <row r="451" ht="15.75" customHeight="1">
      <c r="A451" s="6"/>
      <c r="B451" s="6"/>
      <c r="C451" s="6"/>
      <c r="D451" s="6"/>
    </row>
    <row r="452" ht="15.75" customHeight="1">
      <c r="A452" s="6"/>
      <c r="B452" s="6"/>
      <c r="C452" s="6"/>
      <c r="D452" s="6"/>
    </row>
    <row r="453" ht="15.75" customHeight="1">
      <c r="A453" s="6"/>
      <c r="B453" s="6"/>
      <c r="C453" s="6"/>
      <c r="D453" s="6"/>
    </row>
    <row r="454" ht="15.75" customHeight="1">
      <c r="A454" s="6"/>
      <c r="B454" s="6"/>
      <c r="C454" s="6"/>
      <c r="D454" s="6"/>
    </row>
    <row r="455" ht="15.75" customHeight="1">
      <c r="A455" s="6"/>
      <c r="B455" s="6"/>
      <c r="C455" s="6"/>
      <c r="D455" s="6"/>
    </row>
    <row r="456" ht="15.75" customHeight="1">
      <c r="A456" s="6"/>
      <c r="B456" s="6"/>
      <c r="C456" s="6"/>
      <c r="D456" s="6"/>
    </row>
    <row r="457" ht="15.75" customHeight="1">
      <c r="A457" s="6"/>
      <c r="B457" s="6"/>
      <c r="C457" s="6"/>
      <c r="D457" s="6"/>
    </row>
    <row r="458" ht="15.75" customHeight="1">
      <c r="A458" s="6"/>
      <c r="B458" s="6"/>
      <c r="C458" s="6"/>
      <c r="D458" s="6"/>
    </row>
    <row r="459" ht="15.75" customHeight="1">
      <c r="A459" s="6"/>
      <c r="B459" s="6"/>
      <c r="C459" s="6"/>
      <c r="D459" s="6"/>
    </row>
    <row r="460" ht="15.75" customHeight="1">
      <c r="A460" s="6"/>
      <c r="B460" s="6"/>
      <c r="C460" s="6"/>
      <c r="D460" s="6"/>
    </row>
    <row r="461" ht="15.75" customHeight="1">
      <c r="A461" s="6"/>
      <c r="B461" s="6"/>
      <c r="C461" s="6"/>
      <c r="D461" s="6"/>
    </row>
    <row r="462" ht="15.75" customHeight="1">
      <c r="A462" s="6"/>
      <c r="B462" s="6"/>
      <c r="C462" s="6"/>
      <c r="D462" s="6"/>
    </row>
    <row r="463" ht="15.75" customHeight="1">
      <c r="A463" s="6"/>
      <c r="B463" s="6"/>
      <c r="C463" s="6"/>
      <c r="D463" s="6"/>
    </row>
    <row r="464" ht="15.75" customHeight="1">
      <c r="A464" s="6"/>
      <c r="B464" s="6"/>
      <c r="C464" s="6"/>
      <c r="D464" s="6"/>
    </row>
    <row r="465" ht="15.75" customHeight="1">
      <c r="A465" s="6"/>
      <c r="B465" s="6"/>
      <c r="C465" s="6"/>
      <c r="D465" s="6"/>
    </row>
    <row r="466" ht="15.75" customHeight="1">
      <c r="A466" s="6"/>
      <c r="B466" s="6"/>
      <c r="C466" s="6"/>
      <c r="D466" s="6"/>
    </row>
    <row r="467" ht="15.75" customHeight="1">
      <c r="A467" s="6"/>
      <c r="B467" s="6"/>
      <c r="C467" s="6"/>
      <c r="D467" s="6"/>
    </row>
    <row r="468" ht="15.75" customHeight="1">
      <c r="A468" s="6"/>
      <c r="B468" s="6"/>
      <c r="C468" s="6"/>
      <c r="D468" s="6"/>
    </row>
    <row r="469" ht="15.75" customHeight="1">
      <c r="A469" s="6"/>
      <c r="B469" s="6"/>
      <c r="C469" s="6"/>
      <c r="D469" s="6"/>
    </row>
    <row r="470" ht="15.75" customHeight="1">
      <c r="A470" s="6"/>
      <c r="B470" s="6"/>
      <c r="C470" s="6"/>
      <c r="D470" s="6"/>
    </row>
    <row r="471" ht="15.75" customHeight="1">
      <c r="A471" s="6"/>
      <c r="B471" s="6"/>
      <c r="C471" s="6"/>
      <c r="D471" s="6"/>
    </row>
    <row r="472" ht="15.75" customHeight="1">
      <c r="A472" s="6"/>
      <c r="B472" s="6"/>
      <c r="C472" s="6"/>
      <c r="D472" s="6"/>
    </row>
    <row r="473" ht="15.75" customHeight="1">
      <c r="A473" s="6"/>
      <c r="B473" s="6"/>
      <c r="C473" s="6"/>
      <c r="D473" s="6"/>
    </row>
    <row r="474" ht="15.75" customHeight="1">
      <c r="A474" s="6"/>
      <c r="B474" s="6"/>
      <c r="C474" s="6"/>
      <c r="D474" s="6"/>
    </row>
    <row r="475" ht="15.75" customHeight="1">
      <c r="A475" s="6"/>
      <c r="B475" s="6"/>
      <c r="C475" s="6"/>
      <c r="D475" s="6"/>
    </row>
    <row r="476" ht="15.75" customHeight="1">
      <c r="A476" s="6"/>
      <c r="B476" s="6"/>
      <c r="C476" s="6"/>
      <c r="D476" s="6"/>
    </row>
    <row r="477" ht="15.75" customHeight="1">
      <c r="A477" s="6"/>
      <c r="B477" s="6"/>
      <c r="C477" s="6"/>
      <c r="D477" s="6"/>
    </row>
    <row r="478" ht="15.75" customHeight="1">
      <c r="A478" s="6"/>
      <c r="B478" s="6"/>
      <c r="C478" s="6"/>
      <c r="D478" s="6"/>
    </row>
    <row r="479" ht="15.75" customHeight="1">
      <c r="A479" s="6"/>
      <c r="B479" s="6"/>
      <c r="C479" s="6"/>
      <c r="D479" s="6"/>
    </row>
    <row r="480" ht="15.75" customHeight="1">
      <c r="A480" s="6"/>
      <c r="B480" s="6"/>
      <c r="C480" s="6"/>
      <c r="D480" s="6"/>
    </row>
    <row r="481" ht="15.75" customHeight="1">
      <c r="A481" s="6"/>
      <c r="B481" s="6"/>
      <c r="C481" s="6"/>
      <c r="D481" s="6"/>
    </row>
    <row r="482" ht="15.75" customHeight="1">
      <c r="A482" s="6"/>
      <c r="B482" s="6"/>
      <c r="C482" s="6"/>
      <c r="D482" s="6"/>
    </row>
    <row r="483" ht="15.75" customHeight="1">
      <c r="A483" s="6"/>
      <c r="B483" s="6"/>
      <c r="C483" s="6"/>
      <c r="D483" s="6"/>
    </row>
    <row r="484" ht="15.75" customHeight="1">
      <c r="A484" s="6"/>
      <c r="B484" s="6"/>
      <c r="C484" s="6"/>
      <c r="D484" s="6"/>
    </row>
    <row r="485" ht="15.75" customHeight="1">
      <c r="A485" s="6"/>
      <c r="B485" s="6"/>
      <c r="C485" s="6"/>
      <c r="D485" s="6"/>
    </row>
    <row r="486" ht="15.75" customHeight="1">
      <c r="A486" s="6"/>
      <c r="B486" s="6"/>
      <c r="C486" s="6"/>
      <c r="D486" s="6"/>
    </row>
    <row r="487" ht="15.75" customHeight="1">
      <c r="A487" s="6"/>
      <c r="B487" s="6"/>
      <c r="C487" s="6"/>
      <c r="D487" s="6"/>
    </row>
    <row r="488" ht="15.75" customHeight="1">
      <c r="A488" s="6"/>
      <c r="B488" s="6"/>
      <c r="C488" s="6"/>
      <c r="D488" s="6"/>
    </row>
    <row r="489" ht="15.75" customHeight="1">
      <c r="A489" s="6"/>
      <c r="B489" s="6"/>
      <c r="C489" s="6"/>
      <c r="D489" s="6"/>
    </row>
    <row r="490" ht="15.75" customHeight="1">
      <c r="A490" s="6"/>
      <c r="B490" s="6"/>
      <c r="C490" s="6"/>
      <c r="D490" s="6"/>
    </row>
    <row r="491" ht="15.75" customHeight="1">
      <c r="A491" s="6"/>
      <c r="B491" s="6"/>
      <c r="C491" s="6"/>
      <c r="D491" s="6"/>
    </row>
    <row r="492" ht="15.75" customHeight="1">
      <c r="A492" s="6"/>
      <c r="B492" s="6"/>
      <c r="C492" s="6"/>
      <c r="D492" s="6"/>
    </row>
    <row r="493" ht="15.75" customHeight="1">
      <c r="A493" s="6"/>
      <c r="B493" s="6"/>
      <c r="C493" s="6"/>
      <c r="D493" s="6"/>
    </row>
    <row r="494" ht="15.75" customHeight="1">
      <c r="A494" s="6"/>
      <c r="B494" s="6"/>
      <c r="C494" s="6"/>
      <c r="D494" s="6"/>
    </row>
    <row r="495" ht="15.75" customHeight="1">
      <c r="A495" s="6"/>
      <c r="B495" s="6"/>
      <c r="C495" s="6"/>
      <c r="D495" s="6"/>
    </row>
    <row r="496" ht="15.75" customHeight="1">
      <c r="A496" s="6"/>
      <c r="B496" s="6"/>
      <c r="C496" s="6"/>
      <c r="D496" s="6"/>
    </row>
    <row r="497" ht="15.75" customHeight="1">
      <c r="A497" s="6"/>
      <c r="B497" s="6"/>
      <c r="C497" s="6"/>
      <c r="D497" s="6"/>
    </row>
    <row r="498" ht="15.75" customHeight="1">
      <c r="A498" s="6"/>
      <c r="B498" s="6"/>
      <c r="C498" s="6"/>
      <c r="D498" s="6"/>
    </row>
    <row r="499" ht="15.75" customHeight="1">
      <c r="A499" s="6"/>
      <c r="B499" s="6"/>
      <c r="C499" s="6"/>
      <c r="D499" s="6"/>
    </row>
    <row r="500" ht="15.75" customHeight="1">
      <c r="A500" s="6"/>
      <c r="B500" s="6"/>
      <c r="C500" s="6"/>
      <c r="D500" s="6"/>
    </row>
    <row r="501" ht="15.75" customHeight="1">
      <c r="A501" s="6"/>
      <c r="B501" s="6"/>
      <c r="C501" s="6"/>
      <c r="D501" s="6"/>
    </row>
    <row r="502" ht="15.75" customHeight="1">
      <c r="A502" s="6"/>
      <c r="B502" s="6"/>
      <c r="C502" s="6"/>
      <c r="D502" s="6"/>
    </row>
    <row r="503" ht="15.75" customHeight="1">
      <c r="A503" s="6"/>
      <c r="B503" s="6"/>
      <c r="C503" s="6"/>
      <c r="D503" s="6"/>
    </row>
    <row r="504" ht="15.75" customHeight="1">
      <c r="A504" s="6"/>
      <c r="B504" s="6"/>
      <c r="C504" s="6"/>
      <c r="D504" s="6"/>
    </row>
    <row r="505" ht="15.75" customHeight="1">
      <c r="A505" s="6"/>
      <c r="B505" s="6"/>
      <c r="C505" s="6"/>
      <c r="D505" s="6"/>
    </row>
    <row r="506" ht="15.75" customHeight="1">
      <c r="A506" s="6"/>
      <c r="B506" s="6"/>
      <c r="C506" s="6"/>
      <c r="D506" s="6"/>
    </row>
    <row r="507" ht="15.75" customHeight="1">
      <c r="A507" s="6"/>
      <c r="B507" s="6"/>
      <c r="C507" s="6"/>
      <c r="D507" s="6"/>
    </row>
    <row r="508" ht="15.75" customHeight="1">
      <c r="A508" s="6"/>
      <c r="B508" s="6"/>
      <c r="C508" s="6"/>
      <c r="D508" s="6"/>
    </row>
    <row r="509" ht="15.75" customHeight="1">
      <c r="A509" s="6"/>
      <c r="B509" s="6"/>
      <c r="C509" s="6"/>
      <c r="D509" s="6"/>
    </row>
    <row r="510" ht="15.75" customHeight="1">
      <c r="A510" s="6"/>
      <c r="B510" s="6"/>
      <c r="C510" s="6"/>
      <c r="D510" s="6"/>
    </row>
    <row r="511" ht="15.75" customHeight="1">
      <c r="A511" s="6"/>
      <c r="B511" s="6"/>
      <c r="C511" s="6"/>
      <c r="D511" s="6"/>
    </row>
    <row r="512" ht="15.75" customHeight="1">
      <c r="A512" s="6"/>
      <c r="B512" s="6"/>
      <c r="C512" s="6"/>
      <c r="D512" s="6"/>
    </row>
    <row r="513" ht="15.75" customHeight="1">
      <c r="A513" s="6"/>
      <c r="B513" s="6"/>
      <c r="C513" s="6"/>
      <c r="D513" s="6"/>
    </row>
    <row r="514" ht="15.75" customHeight="1">
      <c r="A514" s="6"/>
      <c r="B514" s="6"/>
      <c r="C514" s="6"/>
      <c r="D514" s="6"/>
    </row>
    <row r="515" ht="15.75" customHeight="1">
      <c r="A515" s="6"/>
      <c r="B515" s="6"/>
      <c r="C515" s="6"/>
      <c r="D515" s="6"/>
    </row>
    <row r="516" ht="15.75" customHeight="1">
      <c r="A516" s="6"/>
      <c r="B516" s="6"/>
      <c r="C516" s="6"/>
      <c r="D516" s="6"/>
    </row>
    <row r="517" ht="15.75" customHeight="1">
      <c r="A517" s="6"/>
      <c r="B517" s="6"/>
      <c r="C517" s="6"/>
      <c r="D517" s="6"/>
    </row>
    <row r="518" ht="15.75" customHeight="1">
      <c r="A518" s="6"/>
      <c r="B518" s="6"/>
      <c r="C518" s="6"/>
      <c r="D518" s="6"/>
    </row>
    <row r="519" ht="15.75" customHeight="1">
      <c r="A519" s="6"/>
      <c r="B519" s="6"/>
      <c r="C519" s="6"/>
      <c r="D519" s="6"/>
    </row>
    <row r="520" ht="15.75" customHeight="1">
      <c r="A520" s="6"/>
      <c r="B520" s="6"/>
      <c r="C520" s="6"/>
      <c r="D520" s="6"/>
    </row>
    <row r="521" ht="15.75" customHeight="1">
      <c r="A521" s="6"/>
      <c r="B521" s="6"/>
      <c r="C521" s="6"/>
      <c r="D521" s="6"/>
    </row>
    <row r="522" ht="15.75" customHeight="1">
      <c r="A522" s="6"/>
      <c r="B522" s="6"/>
      <c r="C522" s="6"/>
      <c r="D522" s="6"/>
    </row>
    <row r="523" ht="15.75" customHeight="1">
      <c r="A523" s="6"/>
      <c r="B523" s="6"/>
      <c r="C523" s="6"/>
      <c r="D523" s="6"/>
    </row>
    <row r="524" ht="15.75" customHeight="1">
      <c r="A524" s="6"/>
      <c r="B524" s="6"/>
      <c r="C524" s="6"/>
      <c r="D524" s="6"/>
    </row>
    <row r="525" ht="15.75" customHeight="1">
      <c r="A525" s="6"/>
      <c r="B525" s="6"/>
      <c r="C525" s="6"/>
      <c r="D525" s="6"/>
    </row>
    <row r="526" ht="15.75" customHeight="1">
      <c r="A526" s="6"/>
      <c r="B526" s="6"/>
      <c r="C526" s="6"/>
      <c r="D526" s="6"/>
    </row>
    <row r="527" ht="15.75" customHeight="1">
      <c r="A527" s="6"/>
      <c r="B527" s="6"/>
      <c r="C527" s="6"/>
      <c r="D527" s="6"/>
    </row>
    <row r="528" ht="15.75" customHeight="1">
      <c r="A528" s="6"/>
      <c r="B528" s="6"/>
      <c r="C528" s="6"/>
      <c r="D528" s="6"/>
    </row>
    <row r="529" ht="15.75" customHeight="1">
      <c r="A529" s="6"/>
      <c r="B529" s="6"/>
      <c r="C529" s="6"/>
      <c r="D529" s="6"/>
    </row>
    <row r="530" ht="15.75" customHeight="1">
      <c r="A530" s="6"/>
      <c r="B530" s="6"/>
      <c r="C530" s="6"/>
      <c r="D530" s="6"/>
    </row>
    <row r="531" ht="15.75" customHeight="1">
      <c r="A531" s="6"/>
      <c r="B531" s="6"/>
      <c r="C531" s="6"/>
      <c r="D531" s="6"/>
    </row>
    <row r="532" ht="15.75" customHeight="1">
      <c r="A532" s="6"/>
      <c r="B532" s="6"/>
      <c r="C532" s="6"/>
      <c r="D532" s="6"/>
    </row>
    <row r="533" ht="15.75" customHeight="1">
      <c r="A533" s="6"/>
      <c r="B533" s="6"/>
      <c r="C533" s="6"/>
      <c r="D533" s="6"/>
    </row>
    <row r="534" ht="15.75" customHeight="1">
      <c r="A534" s="6"/>
      <c r="B534" s="6"/>
      <c r="C534" s="6"/>
      <c r="D534" s="6"/>
    </row>
    <row r="535" ht="15.75" customHeight="1">
      <c r="A535" s="6"/>
      <c r="B535" s="6"/>
      <c r="C535" s="6"/>
      <c r="D535" s="6"/>
    </row>
    <row r="536" ht="15.75" customHeight="1">
      <c r="A536" s="6"/>
      <c r="B536" s="6"/>
      <c r="C536" s="6"/>
      <c r="D536" s="6"/>
    </row>
    <row r="537" ht="15.75" customHeight="1">
      <c r="A537" s="6"/>
      <c r="B537" s="6"/>
      <c r="C537" s="6"/>
      <c r="D537" s="6"/>
    </row>
    <row r="538" ht="15.75" customHeight="1">
      <c r="A538" s="6"/>
      <c r="B538" s="6"/>
      <c r="C538" s="6"/>
      <c r="D538" s="6"/>
    </row>
    <row r="539" ht="15.75" customHeight="1">
      <c r="A539" s="6"/>
      <c r="B539" s="6"/>
      <c r="C539" s="6"/>
      <c r="D539" s="6"/>
    </row>
    <row r="540" ht="15.75" customHeight="1">
      <c r="A540" s="6"/>
      <c r="B540" s="6"/>
      <c r="C540" s="6"/>
      <c r="D540" s="6"/>
    </row>
    <row r="541" ht="15.75" customHeight="1">
      <c r="A541" s="6"/>
      <c r="B541" s="6"/>
      <c r="C541" s="6"/>
      <c r="D541" s="6"/>
    </row>
    <row r="542" ht="15.75" customHeight="1">
      <c r="A542" s="6"/>
      <c r="B542" s="6"/>
      <c r="C542" s="6"/>
      <c r="D542" s="6"/>
    </row>
    <row r="543" ht="15.75" customHeight="1">
      <c r="A543" s="6"/>
      <c r="B543" s="6"/>
      <c r="C543" s="6"/>
      <c r="D543" s="6"/>
    </row>
    <row r="544" ht="15.75" customHeight="1">
      <c r="A544" s="6"/>
      <c r="B544" s="6"/>
      <c r="C544" s="6"/>
      <c r="D544" s="6"/>
    </row>
    <row r="545" ht="15.75" customHeight="1">
      <c r="A545" s="6"/>
      <c r="B545" s="6"/>
      <c r="C545" s="6"/>
      <c r="D545" s="6"/>
    </row>
    <row r="546" ht="15.75" customHeight="1">
      <c r="A546" s="6"/>
      <c r="B546" s="6"/>
      <c r="C546" s="6"/>
      <c r="D546" s="6"/>
    </row>
    <row r="547" ht="15.75" customHeight="1">
      <c r="A547" s="6"/>
      <c r="B547" s="6"/>
      <c r="C547" s="6"/>
      <c r="D547" s="6"/>
    </row>
    <row r="548" ht="15.75" customHeight="1">
      <c r="A548" s="6"/>
      <c r="B548" s="6"/>
      <c r="C548" s="6"/>
      <c r="D548" s="6"/>
    </row>
    <row r="549" ht="15.75" customHeight="1">
      <c r="A549" s="6"/>
      <c r="B549" s="6"/>
      <c r="C549" s="6"/>
      <c r="D549" s="6"/>
    </row>
    <row r="550" ht="15.75" customHeight="1">
      <c r="A550" s="6"/>
      <c r="B550" s="6"/>
      <c r="C550" s="6"/>
      <c r="D550" s="6"/>
    </row>
    <row r="551" ht="15.75" customHeight="1">
      <c r="A551" s="6"/>
      <c r="B551" s="6"/>
      <c r="C551" s="6"/>
      <c r="D551" s="6"/>
    </row>
    <row r="552" ht="15.75" customHeight="1">
      <c r="A552" s="6"/>
      <c r="B552" s="6"/>
      <c r="C552" s="6"/>
      <c r="D552" s="6"/>
    </row>
    <row r="553" ht="15.75" customHeight="1">
      <c r="A553" s="6"/>
      <c r="B553" s="6"/>
      <c r="C553" s="6"/>
      <c r="D553" s="6"/>
    </row>
    <row r="554" ht="15.75" customHeight="1">
      <c r="A554" s="6"/>
      <c r="B554" s="6"/>
      <c r="C554" s="6"/>
      <c r="D554" s="6"/>
    </row>
    <row r="555" ht="15.75" customHeight="1">
      <c r="A555" s="6"/>
      <c r="B555" s="6"/>
      <c r="C555" s="6"/>
      <c r="D555" s="6"/>
    </row>
    <row r="556" ht="15.75" customHeight="1">
      <c r="A556" s="6"/>
      <c r="B556" s="6"/>
      <c r="C556" s="6"/>
      <c r="D556" s="6"/>
    </row>
    <row r="557" ht="15.75" customHeight="1">
      <c r="A557" s="6"/>
      <c r="B557" s="6"/>
      <c r="C557" s="6"/>
      <c r="D557" s="6"/>
    </row>
    <row r="558" ht="15.75" customHeight="1">
      <c r="A558" s="6"/>
      <c r="B558" s="6"/>
      <c r="C558" s="6"/>
      <c r="D558" s="6"/>
    </row>
    <row r="559" ht="15.75" customHeight="1">
      <c r="A559" s="6"/>
      <c r="B559" s="6"/>
      <c r="C559" s="6"/>
      <c r="D559" s="6"/>
    </row>
    <row r="560" ht="15.75" customHeight="1">
      <c r="A560" s="6"/>
      <c r="B560" s="6"/>
      <c r="C560" s="6"/>
      <c r="D560" s="6"/>
    </row>
    <row r="561" ht="15.75" customHeight="1">
      <c r="A561" s="6"/>
      <c r="B561" s="6"/>
      <c r="C561" s="6"/>
      <c r="D561" s="6"/>
    </row>
    <row r="562" ht="15.75" customHeight="1">
      <c r="A562" s="6"/>
      <c r="B562" s="6"/>
      <c r="C562" s="6"/>
      <c r="D562" s="6"/>
    </row>
    <row r="563" ht="15.75" customHeight="1">
      <c r="A563" s="6"/>
      <c r="B563" s="6"/>
      <c r="C563" s="6"/>
      <c r="D563" s="6"/>
    </row>
    <row r="564" ht="15.75" customHeight="1">
      <c r="A564" s="6"/>
      <c r="B564" s="6"/>
      <c r="C564" s="6"/>
      <c r="D564" s="6"/>
    </row>
    <row r="565" ht="15.75" customHeight="1">
      <c r="A565" s="6"/>
      <c r="B565" s="6"/>
      <c r="C565" s="6"/>
      <c r="D565" s="6"/>
    </row>
    <row r="566" ht="15.75" customHeight="1">
      <c r="A566" s="6"/>
      <c r="B566" s="6"/>
      <c r="C566" s="6"/>
      <c r="D566" s="6"/>
    </row>
    <row r="567" ht="15.75" customHeight="1">
      <c r="A567" s="6"/>
      <c r="B567" s="6"/>
      <c r="C567" s="6"/>
      <c r="D567" s="6"/>
    </row>
    <row r="568" ht="15.75" customHeight="1">
      <c r="A568" s="6"/>
      <c r="B568" s="6"/>
      <c r="C568" s="6"/>
      <c r="D568" s="6"/>
    </row>
    <row r="569" ht="15.75" customHeight="1">
      <c r="A569" s="6"/>
      <c r="B569" s="6"/>
      <c r="C569" s="6"/>
      <c r="D569" s="6"/>
    </row>
    <row r="570" ht="15.75" customHeight="1">
      <c r="A570" s="6"/>
      <c r="B570" s="6"/>
      <c r="C570" s="6"/>
      <c r="D570" s="6"/>
    </row>
    <row r="571" ht="15.75" customHeight="1">
      <c r="A571" s="6"/>
      <c r="B571" s="6"/>
      <c r="C571" s="6"/>
      <c r="D571" s="6"/>
    </row>
    <row r="572" ht="15.75" customHeight="1">
      <c r="A572" s="6"/>
      <c r="B572" s="6"/>
      <c r="C572" s="6"/>
      <c r="D572" s="6"/>
    </row>
    <row r="573" ht="15.75" customHeight="1">
      <c r="A573" s="6"/>
      <c r="B573" s="6"/>
      <c r="C573" s="6"/>
      <c r="D573" s="6"/>
    </row>
    <row r="574" ht="15.75" customHeight="1">
      <c r="A574" s="6"/>
      <c r="B574" s="6"/>
      <c r="C574" s="6"/>
      <c r="D574" s="6"/>
    </row>
    <row r="575" ht="15.75" customHeight="1">
      <c r="A575" s="6"/>
      <c r="B575" s="6"/>
      <c r="C575" s="6"/>
      <c r="D575" s="6"/>
    </row>
    <row r="576" ht="15.75" customHeight="1">
      <c r="A576" s="6"/>
      <c r="B576" s="6"/>
      <c r="C576" s="6"/>
      <c r="D576" s="6"/>
    </row>
    <row r="577" ht="15.75" customHeight="1">
      <c r="A577" s="6"/>
      <c r="B577" s="6"/>
      <c r="C577" s="6"/>
      <c r="D577" s="6"/>
    </row>
    <row r="578" ht="15.75" customHeight="1">
      <c r="A578" s="6"/>
      <c r="B578" s="6"/>
      <c r="C578" s="6"/>
      <c r="D578" s="6"/>
    </row>
    <row r="579" ht="15.75" customHeight="1">
      <c r="A579" s="6"/>
      <c r="B579" s="6"/>
      <c r="C579" s="6"/>
      <c r="D579" s="6"/>
    </row>
    <row r="580" ht="15.75" customHeight="1">
      <c r="A580" s="6"/>
      <c r="B580" s="6"/>
      <c r="C580" s="6"/>
      <c r="D580" s="6"/>
    </row>
    <row r="581" ht="15.75" customHeight="1">
      <c r="A581" s="6"/>
      <c r="B581" s="6"/>
      <c r="C581" s="6"/>
      <c r="D581" s="6"/>
    </row>
    <row r="582" ht="15.75" customHeight="1">
      <c r="A582" s="6"/>
      <c r="B582" s="6"/>
      <c r="C582" s="6"/>
      <c r="D582" s="6"/>
    </row>
    <row r="583" ht="15.75" customHeight="1">
      <c r="A583" s="6"/>
      <c r="B583" s="6"/>
      <c r="C583" s="6"/>
      <c r="D583" s="6"/>
    </row>
    <row r="584" ht="15.75" customHeight="1">
      <c r="A584" s="6"/>
      <c r="B584" s="6"/>
      <c r="C584" s="6"/>
      <c r="D584" s="6"/>
    </row>
    <row r="585" ht="15.75" customHeight="1">
      <c r="A585" s="6"/>
      <c r="B585" s="6"/>
      <c r="C585" s="6"/>
      <c r="D585" s="6"/>
    </row>
    <row r="586" ht="15.75" customHeight="1">
      <c r="A586" s="6"/>
      <c r="B586" s="6"/>
      <c r="C586" s="6"/>
      <c r="D586" s="6"/>
    </row>
    <row r="587" ht="15.75" customHeight="1">
      <c r="A587" s="6"/>
      <c r="B587" s="6"/>
      <c r="C587" s="6"/>
      <c r="D587" s="6"/>
    </row>
    <row r="588" ht="15.75" customHeight="1">
      <c r="A588" s="6"/>
      <c r="B588" s="6"/>
      <c r="C588" s="6"/>
      <c r="D588" s="6"/>
    </row>
    <row r="589" ht="15.75" customHeight="1">
      <c r="A589" s="6"/>
      <c r="B589" s="6"/>
      <c r="C589" s="6"/>
      <c r="D589" s="6"/>
    </row>
    <row r="590" ht="15.75" customHeight="1">
      <c r="A590" s="6"/>
      <c r="B590" s="6"/>
      <c r="C590" s="6"/>
      <c r="D590" s="6"/>
    </row>
    <row r="591" ht="15.75" customHeight="1">
      <c r="A591" s="6"/>
      <c r="B591" s="6"/>
      <c r="C591" s="6"/>
      <c r="D591" s="6"/>
    </row>
    <row r="592" ht="15.75" customHeight="1">
      <c r="A592" s="6"/>
      <c r="B592" s="6"/>
      <c r="C592" s="6"/>
      <c r="D592" s="6"/>
    </row>
    <row r="593" ht="15.75" customHeight="1">
      <c r="A593" s="6"/>
      <c r="B593" s="6"/>
      <c r="C593" s="6"/>
      <c r="D593" s="6"/>
    </row>
    <row r="594" ht="15.75" customHeight="1">
      <c r="A594" s="6"/>
      <c r="B594" s="6"/>
      <c r="C594" s="6"/>
      <c r="D594" s="6"/>
    </row>
    <row r="595" ht="15.75" customHeight="1">
      <c r="A595" s="6"/>
      <c r="B595" s="6"/>
      <c r="C595" s="6"/>
      <c r="D595" s="6"/>
    </row>
    <row r="596" ht="15.75" customHeight="1">
      <c r="A596" s="6"/>
      <c r="B596" s="6"/>
      <c r="C596" s="6"/>
      <c r="D596" s="6"/>
    </row>
    <row r="597" ht="15.75" customHeight="1">
      <c r="A597" s="6"/>
      <c r="B597" s="6"/>
      <c r="C597" s="6"/>
      <c r="D597" s="6"/>
    </row>
    <row r="598" ht="15.75" customHeight="1">
      <c r="A598" s="6"/>
      <c r="B598" s="6"/>
      <c r="C598" s="6"/>
      <c r="D598" s="6"/>
    </row>
    <row r="599" ht="15.75" customHeight="1">
      <c r="A599" s="6"/>
      <c r="B599" s="6"/>
      <c r="C599" s="6"/>
      <c r="D599" s="6"/>
    </row>
    <row r="600" ht="15.75" customHeight="1">
      <c r="A600" s="6"/>
      <c r="B600" s="6"/>
      <c r="C600" s="6"/>
      <c r="D600" s="6"/>
    </row>
    <row r="601" ht="15.75" customHeight="1">
      <c r="A601" s="6"/>
      <c r="B601" s="6"/>
      <c r="C601" s="6"/>
      <c r="D601" s="6"/>
    </row>
    <row r="602" ht="15.75" customHeight="1">
      <c r="A602" s="6"/>
      <c r="B602" s="6"/>
      <c r="C602" s="6"/>
      <c r="D602" s="6"/>
    </row>
    <row r="603" ht="15.75" customHeight="1">
      <c r="A603" s="6"/>
      <c r="B603" s="6"/>
      <c r="C603" s="6"/>
      <c r="D603" s="6"/>
    </row>
    <row r="604" ht="15.75" customHeight="1">
      <c r="A604" s="6"/>
      <c r="B604" s="6"/>
      <c r="C604" s="6"/>
      <c r="D604" s="6"/>
    </row>
    <row r="605" ht="15.75" customHeight="1">
      <c r="A605" s="6"/>
      <c r="B605" s="6"/>
      <c r="C605" s="6"/>
      <c r="D605" s="6"/>
    </row>
    <row r="606" ht="15.75" customHeight="1">
      <c r="A606" s="6"/>
      <c r="B606" s="6"/>
      <c r="C606" s="6"/>
      <c r="D606" s="6"/>
    </row>
    <row r="607" ht="15.75" customHeight="1">
      <c r="A607" s="6"/>
      <c r="B607" s="6"/>
      <c r="C607" s="6"/>
      <c r="D607" s="6"/>
    </row>
    <row r="608" ht="15.75" customHeight="1">
      <c r="A608" s="6"/>
      <c r="B608" s="6"/>
      <c r="C608" s="6"/>
      <c r="D608" s="6"/>
    </row>
    <row r="609" ht="15.75" customHeight="1">
      <c r="A609" s="6"/>
      <c r="B609" s="6"/>
      <c r="C609" s="6"/>
      <c r="D609" s="6"/>
    </row>
    <row r="610" ht="15.75" customHeight="1">
      <c r="A610" s="6"/>
      <c r="B610" s="6"/>
      <c r="C610" s="6"/>
      <c r="D610" s="6"/>
    </row>
    <row r="611" ht="15.75" customHeight="1">
      <c r="A611" s="6"/>
      <c r="B611" s="6"/>
      <c r="C611" s="6"/>
      <c r="D611" s="6"/>
    </row>
    <row r="612" ht="15.75" customHeight="1">
      <c r="A612" s="6"/>
      <c r="B612" s="6"/>
      <c r="C612" s="6"/>
      <c r="D612" s="6"/>
    </row>
    <row r="613" ht="15.75" customHeight="1">
      <c r="A613" s="6"/>
      <c r="B613" s="6"/>
      <c r="C613" s="6"/>
      <c r="D613" s="6"/>
    </row>
    <row r="614" ht="15.75" customHeight="1">
      <c r="A614" s="6"/>
      <c r="B614" s="6"/>
      <c r="C614" s="6"/>
      <c r="D614" s="6"/>
    </row>
    <row r="615" ht="15.75" customHeight="1">
      <c r="A615" s="6"/>
      <c r="B615" s="6"/>
      <c r="C615" s="6"/>
      <c r="D615" s="6"/>
    </row>
    <row r="616" ht="15.75" customHeight="1">
      <c r="A616" s="6"/>
      <c r="B616" s="6"/>
      <c r="C616" s="6"/>
      <c r="D616" s="6"/>
    </row>
    <row r="617" ht="15.75" customHeight="1">
      <c r="A617" s="6"/>
      <c r="B617" s="6"/>
      <c r="C617" s="6"/>
      <c r="D617" s="6"/>
    </row>
    <row r="618" ht="15.75" customHeight="1">
      <c r="A618" s="6"/>
      <c r="B618" s="6"/>
      <c r="C618" s="6"/>
      <c r="D618" s="6"/>
    </row>
    <row r="619" ht="15.75" customHeight="1">
      <c r="A619" s="6"/>
      <c r="B619" s="6"/>
      <c r="C619" s="6"/>
      <c r="D619" s="6"/>
    </row>
    <row r="620" ht="15.75" customHeight="1">
      <c r="A620" s="6"/>
      <c r="B620" s="6"/>
      <c r="C620" s="6"/>
      <c r="D620" s="6"/>
    </row>
    <row r="621" ht="15.75" customHeight="1">
      <c r="A621" s="6"/>
      <c r="B621" s="6"/>
      <c r="C621" s="6"/>
      <c r="D621" s="6"/>
    </row>
    <row r="622" ht="15.75" customHeight="1">
      <c r="A622" s="6"/>
      <c r="B622" s="6"/>
      <c r="C622" s="6"/>
      <c r="D622" s="6"/>
    </row>
    <row r="623" ht="15.75" customHeight="1">
      <c r="A623" s="6"/>
      <c r="B623" s="6"/>
      <c r="C623" s="6"/>
      <c r="D623" s="6"/>
    </row>
    <row r="624" ht="15.75" customHeight="1">
      <c r="A624" s="6"/>
      <c r="B624" s="6"/>
      <c r="C624" s="6"/>
      <c r="D624" s="6"/>
    </row>
    <row r="625" ht="15.75" customHeight="1">
      <c r="A625" s="6"/>
      <c r="B625" s="6"/>
      <c r="C625" s="6"/>
      <c r="D625" s="6"/>
    </row>
    <row r="626" ht="15.75" customHeight="1">
      <c r="A626" s="6"/>
      <c r="B626" s="6"/>
      <c r="C626" s="6"/>
      <c r="D626" s="6"/>
    </row>
    <row r="627" ht="15.75" customHeight="1">
      <c r="A627" s="6"/>
      <c r="B627" s="6"/>
      <c r="C627" s="6"/>
      <c r="D627" s="6"/>
    </row>
    <row r="628" ht="15.75" customHeight="1">
      <c r="A628" s="6"/>
      <c r="B628" s="6"/>
      <c r="C628" s="6"/>
      <c r="D628" s="6"/>
    </row>
    <row r="629" ht="15.75" customHeight="1">
      <c r="A629" s="6"/>
      <c r="B629" s="6"/>
      <c r="C629" s="6"/>
      <c r="D629" s="6"/>
    </row>
    <row r="630" ht="15.75" customHeight="1">
      <c r="A630" s="6"/>
      <c r="B630" s="6"/>
      <c r="C630" s="6"/>
      <c r="D630" s="6"/>
    </row>
    <row r="631" ht="15.75" customHeight="1">
      <c r="A631" s="6"/>
      <c r="B631" s="6"/>
      <c r="C631" s="6"/>
      <c r="D631" s="6"/>
    </row>
    <row r="632" ht="15.75" customHeight="1">
      <c r="A632" s="6"/>
      <c r="B632" s="6"/>
      <c r="C632" s="6"/>
      <c r="D632" s="6"/>
    </row>
    <row r="633" ht="15.75" customHeight="1">
      <c r="A633" s="6"/>
      <c r="B633" s="6"/>
      <c r="C633" s="6"/>
      <c r="D633" s="6"/>
    </row>
    <row r="634" ht="15.75" customHeight="1">
      <c r="A634" s="6"/>
      <c r="B634" s="6"/>
      <c r="C634" s="6"/>
      <c r="D634" s="6"/>
    </row>
    <row r="635" ht="15.75" customHeight="1">
      <c r="A635" s="6"/>
      <c r="B635" s="6"/>
      <c r="C635" s="6"/>
      <c r="D635" s="6"/>
    </row>
    <row r="636" ht="15.75" customHeight="1">
      <c r="A636" s="6"/>
      <c r="B636" s="6"/>
      <c r="C636" s="6"/>
      <c r="D636" s="6"/>
    </row>
    <row r="637" ht="15.75" customHeight="1">
      <c r="A637" s="6"/>
      <c r="B637" s="6"/>
      <c r="C637" s="6"/>
      <c r="D637" s="6"/>
    </row>
    <row r="638" ht="15.75" customHeight="1">
      <c r="A638" s="6"/>
      <c r="B638" s="6"/>
      <c r="C638" s="6"/>
      <c r="D638" s="6"/>
    </row>
    <row r="639" ht="15.75" customHeight="1">
      <c r="A639" s="6"/>
      <c r="B639" s="6"/>
      <c r="C639" s="6"/>
      <c r="D639" s="6"/>
    </row>
    <row r="640" ht="15.75" customHeight="1">
      <c r="A640" s="6"/>
      <c r="B640" s="6"/>
      <c r="C640" s="6"/>
      <c r="D640" s="6"/>
    </row>
    <row r="641" ht="15.75" customHeight="1">
      <c r="A641" s="6"/>
      <c r="B641" s="6"/>
      <c r="C641" s="6"/>
      <c r="D641" s="6"/>
    </row>
    <row r="642" ht="15.75" customHeight="1">
      <c r="A642" s="6"/>
      <c r="B642" s="6"/>
      <c r="C642" s="6"/>
      <c r="D642" s="6"/>
    </row>
    <row r="643" ht="15.75" customHeight="1">
      <c r="A643" s="6"/>
      <c r="B643" s="6"/>
      <c r="C643" s="6"/>
      <c r="D643" s="6"/>
    </row>
    <row r="644" ht="15.75" customHeight="1">
      <c r="A644" s="6"/>
      <c r="B644" s="6"/>
      <c r="C644" s="6"/>
      <c r="D644" s="6"/>
    </row>
    <row r="645" ht="15.75" customHeight="1">
      <c r="A645" s="6"/>
      <c r="B645" s="6"/>
      <c r="C645" s="6"/>
      <c r="D645" s="6"/>
    </row>
    <row r="646" ht="15.75" customHeight="1">
      <c r="A646" s="6"/>
      <c r="B646" s="6"/>
      <c r="C646" s="6"/>
      <c r="D646" s="6"/>
    </row>
    <row r="647" ht="15.75" customHeight="1">
      <c r="A647" s="6"/>
      <c r="B647" s="6"/>
      <c r="C647" s="6"/>
      <c r="D647" s="6"/>
    </row>
    <row r="648" ht="15.75" customHeight="1">
      <c r="A648" s="6"/>
      <c r="B648" s="6"/>
      <c r="C648" s="6"/>
      <c r="D648" s="6"/>
    </row>
    <row r="649" ht="15.75" customHeight="1">
      <c r="A649" s="6"/>
      <c r="B649" s="6"/>
      <c r="C649" s="6"/>
      <c r="D649" s="6"/>
    </row>
    <row r="650" ht="15.75" customHeight="1">
      <c r="A650" s="6"/>
      <c r="B650" s="6"/>
      <c r="C650" s="6"/>
      <c r="D650" s="6"/>
    </row>
    <row r="651" ht="15.75" customHeight="1">
      <c r="A651" s="6"/>
      <c r="B651" s="6"/>
      <c r="C651" s="6"/>
      <c r="D651" s="6"/>
    </row>
    <row r="652" ht="15.75" customHeight="1">
      <c r="A652" s="6"/>
      <c r="B652" s="6"/>
      <c r="C652" s="6"/>
      <c r="D652" s="6"/>
    </row>
    <row r="653" ht="15.75" customHeight="1">
      <c r="A653" s="6"/>
      <c r="B653" s="6"/>
      <c r="C653" s="6"/>
      <c r="D653" s="6"/>
    </row>
    <row r="654" ht="15.75" customHeight="1">
      <c r="A654" s="6"/>
      <c r="B654" s="6"/>
      <c r="C654" s="6"/>
      <c r="D654" s="6"/>
    </row>
    <row r="655" ht="15.75" customHeight="1">
      <c r="A655" s="6"/>
      <c r="B655" s="6"/>
      <c r="C655" s="6"/>
      <c r="D655" s="6"/>
    </row>
    <row r="656" ht="15.75" customHeight="1">
      <c r="A656" s="6"/>
      <c r="B656" s="6"/>
      <c r="C656" s="6"/>
      <c r="D656" s="6"/>
    </row>
    <row r="657" ht="15.75" customHeight="1">
      <c r="A657" s="6"/>
      <c r="B657" s="6"/>
      <c r="C657" s="6"/>
      <c r="D657" s="6"/>
    </row>
    <row r="658" ht="15.75" customHeight="1">
      <c r="A658" s="6"/>
      <c r="B658" s="6"/>
      <c r="C658" s="6"/>
      <c r="D658" s="6"/>
    </row>
    <row r="659" ht="15.75" customHeight="1">
      <c r="A659" s="6"/>
      <c r="B659" s="6"/>
      <c r="C659" s="6"/>
      <c r="D659" s="6"/>
    </row>
    <row r="660" ht="15.75" customHeight="1">
      <c r="A660" s="6"/>
      <c r="B660" s="6"/>
      <c r="C660" s="6"/>
      <c r="D660" s="6"/>
    </row>
    <row r="661" ht="15.75" customHeight="1">
      <c r="A661" s="6"/>
      <c r="B661" s="6"/>
      <c r="C661" s="6"/>
      <c r="D661" s="6"/>
    </row>
    <row r="662" ht="15.75" customHeight="1">
      <c r="A662" s="6"/>
      <c r="B662" s="6"/>
      <c r="C662" s="6"/>
      <c r="D662" s="6"/>
    </row>
    <row r="663" ht="15.75" customHeight="1">
      <c r="A663" s="6"/>
      <c r="B663" s="6"/>
      <c r="C663" s="6"/>
      <c r="D663" s="6"/>
    </row>
    <row r="664" ht="15.75" customHeight="1">
      <c r="A664" s="6"/>
      <c r="B664" s="6"/>
      <c r="C664" s="6"/>
      <c r="D664" s="6"/>
    </row>
    <row r="665" ht="15.75" customHeight="1">
      <c r="A665" s="6"/>
      <c r="B665" s="6"/>
      <c r="C665" s="6"/>
      <c r="D665" s="6"/>
    </row>
    <row r="666" ht="15.75" customHeight="1">
      <c r="A666" s="6"/>
      <c r="B666" s="6"/>
      <c r="C666" s="6"/>
      <c r="D666" s="6"/>
    </row>
    <row r="667" ht="15.75" customHeight="1">
      <c r="A667" s="6"/>
      <c r="B667" s="6"/>
      <c r="C667" s="6"/>
      <c r="D667" s="6"/>
    </row>
    <row r="668" ht="15.75" customHeight="1">
      <c r="A668" s="6"/>
      <c r="B668" s="6"/>
      <c r="C668" s="6"/>
      <c r="D668" s="6"/>
    </row>
    <row r="669" ht="15.75" customHeight="1">
      <c r="A669" s="6"/>
      <c r="B669" s="6"/>
      <c r="C669" s="6"/>
      <c r="D669" s="6"/>
    </row>
    <row r="670" ht="15.75" customHeight="1">
      <c r="A670" s="6"/>
      <c r="B670" s="6"/>
      <c r="C670" s="6"/>
      <c r="D670" s="6"/>
    </row>
    <row r="671" ht="15.75" customHeight="1">
      <c r="A671" s="6"/>
      <c r="B671" s="6"/>
      <c r="C671" s="6"/>
      <c r="D671" s="6"/>
    </row>
    <row r="672" ht="15.75" customHeight="1">
      <c r="A672" s="6"/>
      <c r="B672" s="6"/>
      <c r="C672" s="6"/>
      <c r="D672" s="6"/>
    </row>
    <row r="673" ht="15.75" customHeight="1">
      <c r="A673" s="6"/>
      <c r="B673" s="6"/>
      <c r="C673" s="6"/>
      <c r="D673" s="6"/>
    </row>
    <row r="674" ht="15.75" customHeight="1">
      <c r="A674" s="6"/>
      <c r="B674" s="6"/>
      <c r="C674" s="6"/>
      <c r="D674" s="6"/>
    </row>
    <row r="675" ht="15.75" customHeight="1">
      <c r="A675" s="6"/>
      <c r="B675" s="6"/>
      <c r="C675" s="6"/>
      <c r="D675" s="6"/>
    </row>
    <row r="676" ht="15.75" customHeight="1">
      <c r="A676" s="6"/>
      <c r="B676" s="6"/>
      <c r="C676" s="6"/>
      <c r="D676" s="6"/>
    </row>
    <row r="677" ht="15.75" customHeight="1">
      <c r="A677" s="6"/>
      <c r="B677" s="6"/>
      <c r="C677" s="6"/>
      <c r="D677" s="6"/>
    </row>
    <row r="678" ht="15.75" customHeight="1">
      <c r="A678" s="6"/>
      <c r="B678" s="6"/>
      <c r="C678" s="6"/>
      <c r="D678" s="6"/>
    </row>
    <row r="679" ht="15.75" customHeight="1">
      <c r="A679" s="6"/>
      <c r="B679" s="6"/>
      <c r="C679" s="6"/>
      <c r="D679" s="6"/>
    </row>
    <row r="680" ht="15.75" customHeight="1">
      <c r="A680" s="6"/>
      <c r="B680" s="6"/>
      <c r="C680" s="6"/>
      <c r="D680" s="6"/>
    </row>
    <row r="681" ht="15.75" customHeight="1">
      <c r="A681" s="6"/>
      <c r="B681" s="6"/>
      <c r="C681" s="6"/>
      <c r="D681" s="6"/>
    </row>
    <row r="682" ht="15.75" customHeight="1">
      <c r="A682" s="6"/>
      <c r="B682" s="6"/>
      <c r="C682" s="6"/>
      <c r="D682" s="6"/>
    </row>
    <row r="683" ht="15.75" customHeight="1">
      <c r="A683" s="6"/>
      <c r="B683" s="6"/>
      <c r="C683" s="6"/>
      <c r="D683" s="6"/>
    </row>
    <row r="684" ht="15.75" customHeight="1">
      <c r="A684" s="6"/>
      <c r="B684" s="6"/>
      <c r="C684" s="6"/>
      <c r="D684" s="6"/>
    </row>
    <row r="685" ht="15.75" customHeight="1">
      <c r="A685" s="6"/>
      <c r="B685" s="6"/>
      <c r="C685" s="6"/>
      <c r="D685" s="6"/>
    </row>
    <row r="686" ht="15.75" customHeight="1">
      <c r="A686" s="6"/>
      <c r="B686" s="6"/>
      <c r="C686" s="6"/>
      <c r="D686" s="6"/>
    </row>
    <row r="687" ht="15.75" customHeight="1">
      <c r="A687" s="6"/>
      <c r="B687" s="6"/>
      <c r="C687" s="6"/>
      <c r="D687" s="6"/>
    </row>
    <row r="688" ht="15.75" customHeight="1">
      <c r="A688" s="6"/>
      <c r="B688" s="6"/>
      <c r="C688" s="6"/>
      <c r="D688" s="6"/>
    </row>
    <row r="689" ht="15.75" customHeight="1">
      <c r="A689" s="6"/>
      <c r="B689" s="6"/>
      <c r="C689" s="6"/>
      <c r="D689" s="6"/>
    </row>
    <row r="690" ht="15.75" customHeight="1">
      <c r="A690" s="6"/>
      <c r="B690" s="6"/>
      <c r="C690" s="6"/>
      <c r="D690" s="6"/>
    </row>
    <row r="691" ht="15.75" customHeight="1">
      <c r="A691" s="6"/>
      <c r="B691" s="6"/>
      <c r="C691" s="6"/>
      <c r="D691" s="6"/>
    </row>
    <row r="692" ht="15.75" customHeight="1">
      <c r="A692" s="6"/>
      <c r="B692" s="6"/>
      <c r="C692" s="6"/>
      <c r="D692" s="6"/>
    </row>
    <row r="693" ht="15.75" customHeight="1">
      <c r="A693" s="6"/>
      <c r="B693" s="6"/>
      <c r="C693" s="6"/>
      <c r="D693" s="6"/>
    </row>
    <row r="694" ht="15.75" customHeight="1">
      <c r="A694" s="6"/>
      <c r="B694" s="6"/>
      <c r="C694" s="6"/>
      <c r="D694" s="6"/>
    </row>
    <row r="695" ht="15.75" customHeight="1">
      <c r="A695" s="6"/>
      <c r="B695" s="6"/>
      <c r="C695" s="6"/>
      <c r="D695" s="6"/>
    </row>
    <row r="696" ht="15.75" customHeight="1">
      <c r="A696" s="6"/>
      <c r="B696" s="6"/>
      <c r="C696" s="6"/>
      <c r="D696" s="6"/>
    </row>
    <row r="697" ht="15.75" customHeight="1">
      <c r="A697" s="6"/>
      <c r="B697" s="6"/>
      <c r="C697" s="6"/>
      <c r="D697" s="6"/>
    </row>
    <row r="698" ht="15.75" customHeight="1">
      <c r="A698" s="6"/>
      <c r="B698" s="6"/>
      <c r="C698" s="6"/>
      <c r="D698" s="6"/>
    </row>
    <row r="699" ht="15.75" customHeight="1">
      <c r="A699" s="6"/>
      <c r="B699" s="6"/>
      <c r="C699" s="6"/>
      <c r="D699" s="6"/>
    </row>
    <row r="700" ht="15.75" customHeight="1">
      <c r="A700" s="6"/>
      <c r="B700" s="6"/>
      <c r="C700" s="6"/>
      <c r="D700" s="6"/>
    </row>
    <row r="701" ht="15.75" customHeight="1">
      <c r="A701" s="6"/>
      <c r="B701" s="6"/>
      <c r="C701" s="6"/>
      <c r="D701" s="6"/>
    </row>
    <row r="702" ht="15.75" customHeight="1">
      <c r="A702" s="6"/>
      <c r="B702" s="6"/>
      <c r="C702" s="6"/>
      <c r="D702" s="6"/>
    </row>
    <row r="703" ht="15.75" customHeight="1">
      <c r="A703" s="6"/>
      <c r="B703" s="6"/>
      <c r="C703" s="6"/>
      <c r="D703" s="6"/>
    </row>
    <row r="704" ht="15.75" customHeight="1">
      <c r="A704" s="6"/>
      <c r="B704" s="6"/>
      <c r="C704" s="6"/>
      <c r="D704" s="6"/>
    </row>
    <row r="705" ht="15.75" customHeight="1">
      <c r="A705" s="6"/>
      <c r="B705" s="6"/>
      <c r="C705" s="6"/>
      <c r="D705" s="6"/>
    </row>
    <row r="706" ht="15.75" customHeight="1">
      <c r="A706" s="6"/>
      <c r="B706" s="6"/>
      <c r="C706" s="6"/>
      <c r="D706" s="6"/>
    </row>
    <row r="707" ht="15.75" customHeight="1">
      <c r="A707" s="6"/>
      <c r="B707" s="6"/>
      <c r="C707" s="6"/>
      <c r="D707" s="6"/>
    </row>
    <row r="708" ht="15.75" customHeight="1">
      <c r="A708" s="6"/>
      <c r="B708" s="6"/>
      <c r="C708" s="6"/>
      <c r="D708" s="6"/>
    </row>
    <row r="709" ht="15.75" customHeight="1">
      <c r="A709" s="6"/>
      <c r="B709" s="6"/>
      <c r="C709" s="6"/>
      <c r="D709" s="6"/>
    </row>
    <row r="710" ht="15.75" customHeight="1">
      <c r="A710" s="6"/>
      <c r="B710" s="6"/>
      <c r="C710" s="6"/>
      <c r="D710" s="6"/>
    </row>
    <row r="711" ht="15.75" customHeight="1">
      <c r="A711" s="6"/>
      <c r="B711" s="6"/>
      <c r="C711" s="6"/>
      <c r="D711" s="6"/>
    </row>
    <row r="712" ht="15.75" customHeight="1">
      <c r="A712" s="6"/>
      <c r="B712" s="6"/>
      <c r="C712" s="6"/>
      <c r="D712" s="6"/>
    </row>
    <row r="713" ht="15.75" customHeight="1">
      <c r="A713" s="6"/>
      <c r="B713" s="6"/>
      <c r="C713" s="6"/>
      <c r="D713" s="6"/>
    </row>
    <row r="714" ht="15.75" customHeight="1">
      <c r="A714" s="6"/>
      <c r="B714" s="6"/>
      <c r="C714" s="6"/>
      <c r="D714" s="6"/>
    </row>
    <row r="715" ht="15.75" customHeight="1">
      <c r="A715" s="6"/>
      <c r="B715" s="6"/>
      <c r="C715" s="6"/>
      <c r="D715" s="6"/>
    </row>
    <row r="716" ht="15.75" customHeight="1">
      <c r="A716" s="6"/>
      <c r="B716" s="6"/>
      <c r="C716" s="6"/>
      <c r="D716" s="6"/>
    </row>
    <row r="717" ht="15.75" customHeight="1">
      <c r="A717" s="6"/>
      <c r="B717" s="6"/>
      <c r="C717" s="6"/>
      <c r="D717" s="6"/>
    </row>
    <row r="718" ht="15.75" customHeight="1">
      <c r="A718" s="6"/>
      <c r="B718" s="6"/>
      <c r="C718" s="6"/>
      <c r="D718" s="6"/>
    </row>
    <row r="719" ht="15.75" customHeight="1">
      <c r="A719" s="6"/>
      <c r="B719" s="6"/>
      <c r="C719" s="6"/>
      <c r="D719" s="6"/>
    </row>
    <row r="720" ht="15.75" customHeight="1">
      <c r="A720" s="6"/>
      <c r="B720" s="6"/>
      <c r="C720" s="6"/>
      <c r="D720" s="6"/>
    </row>
    <row r="721" ht="15.75" customHeight="1">
      <c r="A721" s="6"/>
      <c r="B721" s="6"/>
      <c r="C721" s="6"/>
      <c r="D721" s="6"/>
    </row>
    <row r="722" ht="15.75" customHeight="1">
      <c r="A722" s="6"/>
      <c r="B722" s="6"/>
      <c r="C722" s="6"/>
      <c r="D722" s="6"/>
    </row>
    <row r="723" ht="15.75" customHeight="1">
      <c r="A723" s="6"/>
      <c r="B723" s="6"/>
      <c r="C723" s="6"/>
      <c r="D723" s="6"/>
    </row>
    <row r="724" ht="15.75" customHeight="1">
      <c r="A724" s="6"/>
      <c r="B724" s="6"/>
      <c r="C724" s="6"/>
      <c r="D724" s="6"/>
    </row>
    <row r="725" ht="15.75" customHeight="1">
      <c r="A725" s="6"/>
      <c r="B725" s="6"/>
      <c r="C725" s="6"/>
      <c r="D725" s="6"/>
    </row>
    <row r="726" ht="15.75" customHeight="1">
      <c r="A726" s="6"/>
      <c r="B726" s="6"/>
      <c r="C726" s="6"/>
      <c r="D726" s="6"/>
    </row>
    <row r="727" ht="15.75" customHeight="1">
      <c r="A727" s="6"/>
      <c r="B727" s="6"/>
      <c r="C727" s="6"/>
      <c r="D727" s="6"/>
    </row>
    <row r="728" ht="15.75" customHeight="1">
      <c r="A728" s="6"/>
      <c r="B728" s="6"/>
      <c r="C728" s="6"/>
      <c r="D728" s="6"/>
    </row>
    <row r="729" ht="15.75" customHeight="1">
      <c r="A729" s="6"/>
      <c r="B729" s="6"/>
      <c r="C729" s="6"/>
      <c r="D729" s="6"/>
    </row>
    <row r="730" ht="15.75" customHeight="1">
      <c r="A730" s="6"/>
      <c r="B730" s="6"/>
      <c r="C730" s="6"/>
      <c r="D730" s="6"/>
    </row>
    <row r="731" ht="15.75" customHeight="1">
      <c r="A731" s="6"/>
      <c r="B731" s="6"/>
      <c r="C731" s="6"/>
      <c r="D731" s="6"/>
    </row>
    <row r="732" ht="15.75" customHeight="1">
      <c r="A732" s="6"/>
      <c r="B732" s="6"/>
      <c r="C732" s="6"/>
      <c r="D732" s="6"/>
    </row>
    <row r="733" ht="15.75" customHeight="1">
      <c r="A733" s="6"/>
      <c r="B733" s="6"/>
      <c r="C733" s="6"/>
      <c r="D733" s="6"/>
    </row>
    <row r="734" ht="15.75" customHeight="1">
      <c r="A734" s="6"/>
      <c r="B734" s="6"/>
      <c r="C734" s="6"/>
      <c r="D734" s="6"/>
    </row>
    <row r="735" ht="15.75" customHeight="1">
      <c r="A735" s="6"/>
      <c r="B735" s="6"/>
      <c r="C735" s="6"/>
      <c r="D735" s="6"/>
    </row>
    <row r="736" ht="15.75" customHeight="1">
      <c r="A736" s="6"/>
      <c r="B736" s="6"/>
      <c r="C736" s="6"/>
      <c r="D736" s="6"/>
    </row>
    <row r="737" ht="15.75" customHeight="1">
      <c r="A737" s="6"/>
      <c r="B737" s="6"/>
      <c r="C737" s="6"/>
      <c r="D737" s="6"/>
    </row>
    <row r="738" ht="15.75" customHeight="1">
      <c r="A738" s="6"/>
      <c r="B738" s="6"/>
      <c r="C738" s="6"/>
      <c r="D738" s="6"/>
    </row>
    <row r="739" ht="15.75" customHeight="1">
      <c r="A739" s="6"/>
      <c r="B739" s="6"/>
      <c r="C739" s="6"/>
      <c r="D739" s="6"/>
    </row>
    <row r="740" ht="15.75" customHeight="1">
      <c r="A740" s="6"/>
      <c r="B740" s="6"/>
      <c r="C740" s="6"/>
      <c r="D740" s="6"/>
    </row>
    <row r="741" ht="15.75" customHeight="1">
      <c r="A741" s="6"/>
      <c r="B741" s="6"/>
      <c r="C741" s="6"/>
      <c r="D741" s="6"/>
    </row>
    <row r="742" ht="15.75" customHeight="1">
      <c r="A742" s="6"/>
      <c r="B742" s="6"/>
      <c r="C742" s="6"/>
      <c r="D742" s="6"/>
    </row>
    <row r="743" ht="15.75" customHeight="1">
      <c r="A743" s="6"/>
      <c r="B743" s="6"/>
      <c r="C743" s="6"/>
      <c r="D743" s="6"/>
    </row>
    <row r="744" ht="15.75" customHeight="1">
      <c r="A744" s="6"/>
      <c r="B744" s="6"/>
      <c r="C744" s="6"/>
      <c r="D744" s="6"/>
    </row>
    <row r="745" ht="15.75" customHeight="1">
      <c r="A745" s="6"/>
      <c r="B745" s="6"/>
      <c r="C745" s="6"/>
      <c r="D745" s="6"/>
    </row>
    <row r="746" ht="15.75" customHeight="1">
      <c r="A746" s="6"/>
      <c r="B746" s="6"/>
      <c r="C746" s="6"/>
      <c r="D746" s="6"/>
    </row>
    <row r="747" ht="15.75" customHeight="1">
      <c r="A747" s="6"/>
      <c r="B747" s="6"/>
      <c r="C747" s="6"/>
      <c r="D747" s="6"/>
    </row>
    <row r="748" ht="15.75" customHeight="1">
      <c r="A748" s="6"/>
      <c r="B748" s="6"/>
      <c r="C748" s="6"/>
      <c r="D748" s="6"/>
    </row>
    <row r="749" ht="15.75" customHeight="1">
      <c r="A749" s="6"/>
      <c r="B749" s="6"/>
      <c r="C749" s="6"/>
      <c r="D749" s="6"/>
    </row>
    <row r="750" ht="15.75" customHeight="1">
      <c r="A750" s="6"/>
      <c r="B750" s="6"/>
      <c r="C750" s="6"/>
      <c r="D750" s="6"/>
    </row>
    <row r="751" ht="15.75" customHeight="1">
      <c r="A751" s="6"/>
      <c r="B751" s="6"/>
      <c r="C751" s="6"/>
      <c r="D751" s="6"/>
    </row>
    <row r="752" ht="15.75" customHeight="1">
      <c r="A752" s="6"/>
      <c r="B752" s="6"/>
      <c r="C752" s="6"/>
      <c r="D752" s="6"/>
    </row>
    <row r="753" ht="15.75" customHeight="1">
      <c r="A753" s="6"/>
      <c r="B753" s="6"/>
      <c r="C753" s="6"/>
      <c r="D753" s="6"/>
    </row>
    <row r="754" ht="15.75" customHeight="1">
      <c r="A754" s="6"/>
      <c r="B754" s="6"/>
      <c r="C754" s="6"/>
      <c r="D754" s="6"/>
    </row>
    <row r="755" ht="15.75" customHeight="1">
      <c r="A755" s="6"/>
      <c r="B755" s="6"/>
      <c r="C755" s="6"/>
      <c r="D755" s="6"/>
    </row>
    <row r="756" ht="15.75" customHeight="1">
      <c r="A756" s="6"/>
      <c r="B756" s="6"/>
      <c r="C756" s="6"/>
      <c r="D756" s="6"/>
    </row>
    <row r="757" ht="15.75" customHeight="1">
      <c r="A757" s="6"/>
      <c r="B757" s="6"/>
      <c r="C757" s="6"/>
      <c r="D757" s="6"/>
    </row>
    <row r="758" ht="15.75" customHeight="1">
      <c r="A758" s="6"/>
      <c r="B758" s="6"/>
      <c r="C758" s="6"/>
      <c r="D758" s="6"/>
    </row>
    <row r="759" ht="15.75" customHeight="1">
      <c r="A759" s="6"/>
      <c r="B759" s="6"/>
      <c r="C759" s="6"/>
      <c r="D759" s="6"/>
    </row>
    <row r="760" ht="15.75" customHeight="1">
      <c r="A760" s="6"/>
      <c r="B760" s="6"/>
      <c r="C760" s="6"/>
      <c r="D760" s="6"/>
    </row>
    <row r="761" ht="15.75" customHeight="1">
      <c r="A761" s="6"/>
      <c r="B761" s="6"/>
      <c r="C761" s="6"/>
      <c r="D761" s="6"/>
    </row>
    <row r="762" ht="15.75" customHeight="1">
      <c r="A762" s="6"/>
      <c r="B762" s="6"/>
      <c r="C762" s="6"/>
      <c r="D762" s="6"/>
    </row>
    <row r="763" ht="15.75" customHeight="1">
      <c r="A763" s="6"/>
      <c r="B763" s="6"/>
      <c r="C763" s="6"/>
      <c r="D763" s="6"/>
    </row>
    <row r="764" ht="15.75" customHeight="1">
      <c r="A764" s="6"/>
      <c r="B764" s="6"/>
      <c r="C764" s="6"/>
      <c r="D764" s="6"/>
    </row>
    <row r="765" ht="15.75" customHeight="1">
      <c r="A765" s="6"/>
      <c r="B765" s="6"/>
      <c r="C765" s="6"/>
      <c r="D765" s="6"/>
    </row>
    <row r="766" ht="15.75" customHeight="1">
      <c r="A766" s="6"/>
      <c r="B766" s="6"/>
      <c r="C766" s="6"/>
      <c r="D766" s="6"/>
    </row>
    <row r="767" ht="15.75" customHeight="1">
      <c r="A767" s="6"/>
      <c r="B767" s="6"/>
      <c r="C767" s="6"/>
      <c r="D767" s="6"/>
    </row>
    <row r="768" ht="15.75" customHeight="1">
      <c r="A768" s="6"/>
      <c r="B768" s="6"/>
      <c r="C768" s="6"/>
      <c r="D768" s="6"/>
    </row>
    <row r="769" ht="15.75" customHeight="1">
      <c r="A769" s="6"/>
      <c r="B769" s="6"/>
      <c r="C769" s="6"/>
      <c r="D769" s="6"/>
    </row>
    <row r="770" ht="15.75" customHeight="1">
      <c r="A770" s="6"/>
      <c r="B770" s="6"/>
      <c r="C770" s="6"/>
      <c r="D770" s="6"/>
    </row>
    <row r="771" ht="15.75" customHeight="1">
      <c r="A771" s="6"/>
      <c r="B771" s="6"/>
      <c r="C771" s="6"/>
      <c r="D771" s="6"/>
    </row>
    <row r="772" ht="15.75" customHeight="1">
      <c r="A772" s="6"/>
      <c r="B772" s="6"/>
      <c r="C772" s="6"/>
      <c r="D772" s="6"/>
    </row>
    <row r="773" ht="15.75" customHeight="1">
      <c r="A773" s="6"/>
      <c r="B773" s="6"/>
      <c r="C773" s="6"/>
      <c r="D773" s="6"/>
    </row>
    <row r="774" ht="15.75" customHeight="1">
      <c r="A774" s="6"/>
      <c r="B774" s="6"/>
      <c r="C774" s="6"/>
      <c r="D774" s="6"/>
    </row>
    <row r="775" ht="15.75" customHeight="1">
      <c r="A775" s="6"/>
      <c r="B775" s="6"/>
      <c r="C775" s="6"/>
      <c r="D775" s="6"/>
    </row>
    <row r="776" ht="15.75" customHeight="1">
      <c r="A776" s="6"/>
      <c r="B776" s="6"/>
      <c r="C776" s="6"/>
      <c r="D776" s="6"/>
    </row>
    <row r="777" ht="15.75" customHeight="1">
      <c r="A777" s="6"/>
      <c r="B777" s="6"/>
      <c r="C777" s="6"/>
      <c r="D777" s="6"/>
    </row>
    <row r="778" ht="15.75" customHeight="1">
      <c r="A778" s="6"/>
      <c r="B778" s="6"/>
      <c r="C778" s="6"/>
      <c r="D778" s="6"/>
    </row>
    <row r="779" ht="15.75" customHeight="1">
      <c r="A779" s="6"/>
      <c r="B779" s="6"/>
      <c r="C779" s="6"/>
      <c r="D779" s="6"/>
    </row>
    <row r="780" ht="15.75" customHeight="1">
      <c r="A780" s="6"/>
      <c r="B780" s="6"/>
      <c r="C780" s="6"/>
      <c r="D780" s="6"/>
    </row>
    <row r="781" ht="15.75" customHeight="1">
      <c r="A781" s="6"/>
      <c r="B781" s="6"/>
      <c r="C781" s="6"/>
      <c r="D781" s="6"/>
    </row>
    <row r="782" ht="15.75" customHeight="1">
      <c r="A782" s="6"/>
      <c r="B782" s="6"/>
      <c r="C782" s="6"/>
      <c r="D782" s="6"/>
    </row>
    <row r="783" ht="15.75" customHeight="1">
      <c r="A783" s="6"/>
      <c r="B783" s="6"/>
      <c r="C783" s="6"/>
      <c r="D783" s="6"/>
    </row>
    <row r="784" ht="15.75" customHeight="1">
      <c r="A784" s="6"/>
      <c r="B784" s="6"/>
      <c r="C784" s="6"/>
      <c r="D784" s="6"/>
    </row>
    <row r="785" ht="15.75" customHeight="1">
      <c r="A785" s="6"/>
      <c r="B785" s="6"/>
      <c r="C785" s="6"/>
      <c r="D785" s="6"/>
    </row>
    <row r="786" ht="15.75" customHeight="1">
      <c r="A786" s="6"/>
      <c r="B786" s="6"/>
      <c r="C786" s="6"/>
      <c r="D786" s="6"/>
    </row>
    <row r="787" ht="15.75" customHeight="1">
      <c r="A787" s="6"/>
      <c r="B787" s="6"/>
      <c r="C787" s="6"/>
      <c r="D787" s="6"/>
    </row>
    <row r="788" ht="15.75" customHeight="1">
      <c r="A788" s="6"/>
      <c r="B788" s="6"/>
      <c r="C788" s="6"/>
      <c r="D788" s="6"/>
    </row>
    <row r="789" ht="15.75" customHeight="1">
      <c r="A789" s="6"/>
      <c r="B789" s="6"/>
      <c r="C789" s="6"/>
      <c r="D789" s="6"/>
    </row>
    <row r="790" ht="15.75" customHeight="1">
      <c r="A790" s="6"/>
      <c r="B790" s="6"/>
      <c r="C790" s="6"/>
      <c r="D790" s="6"/>
    </row>
    <row r="791" ht="15.75" customHeight="1">
      <c r="A791" s="6"/>
      <c r="B791" s="6"/>
      <c r="C791" s="6"/>
      <c r="D791" s="6"/>
    </row>
    <row r="792" ht="15.75" customHeight="1">
      <c r="A792" s="6"/>
      <c r="B792" s="6"/>
      <c r="C792" s="6"/>
      <c r="D792" s="6"/>
    </row>
    <row r="793" ht="15.75" customHeight="1">
      <c r="A793" s="6"/>
      <c r="B793" s="6"/>
      <c r="C793" s="6"/>
      <c r="D793" s="6"/>
    </row>
    <row r="794" ht="15.75" customHeight="1">
      <c r="A794" s="6"/>
      <c r="B794" s="6"/>
      <c r="C794" s="6"/>
      <c r="D794" s="6"/>
    </row>
    <row r="795" ht="15.75" customHeight="1">
      <c r="A795" s="6"/>
      <c r="B795" s="6"/>
      <c r="C795" s="6"/>
      <c r="D795" s="6"/>
    </row>
    <row r="796" ht="15.75" customHeight="1">
      <c r="A796" s="6"/>
      <c r="B796" s="6"/>
      <c r="C796" s="6"/>
      <c r="D796" s="6"/>
    </row>
    <row r="797" ht="15.75" customHeight="1">
      <c r="A797" s="6"/>
      <c r="B797" s="6"/>
      <c r="C797" s="6"/>
      <c r="D797" s="6"/>
    </row>
    <row r="798" ht="15.75" customHeight="1">
      <c r="A798" s="6"/>
      <c r="B798" s="6"/>
      <c r="C798" s="6"/>
      <c r="D798" s="6"/>
    </row>
    <row r="799" ht="15.75" customHeight="1">
      <c r="A799" s="6"/>
      <c r="B799" s="6"/>
      <c r="C799" s="6"/>
      <c r="D799" s="6"/>
    </row>
    <row r="800" ht="15.75" customHeight="1">
      <c r="A800" s="6"/>
      <c r="B800" s="6"/>
      <c r="C800" s="6"/>
      <c r="D800" s="6"/>
    </row>
    <row r="801" ht="15.75" customHeight="1">
      <c r="A801" s="6"/>
      <c r="B801" s="6"/>
      <c r="C801" s="6"/>
      <c r="D801" s="6"/>
    </row>
    <row r="802" ht="15.75" customHeight="1">
      <c r="A802" s="6"/>
      <c r="B802" s="6"/>
      <c r="C802" s="6"/>
      <c r="D802" s="6"/>
    </row>
    <row r="803" ht="15.75" customHeight="1">
      <c r="A803" s="6"/>
      <c r="B803" s="6"/>
      <c r="C803" s="6"/>
      <c r="D803" s="6"/>
    </row>
    <row r="804" ht="15.75" customHeight="1">
      <c r="A804" s="6"/>
      <c r="B804" s="6"/>
      <c r="C804" s="6"/>
      <c r="D804" s="6"/>
    </row>
    <row r="805" ht="15.75" customHeight="1">
      <c r="A805" s="6"/>
      <c r="B805" s="6"/>
      <c r="C805" s="6"/>
      <c r="D805" s="6"/>
    </row>
    <row r="806" ht="15.75" customHeight="1">
      <c r="A806" s="6"/>
      <c r="B806" s="6"/>
      <c r="C806" s="6"/>
      <c r="D806" s="6"/>
    </row>
    <row r="807" ht="15.75" customHeight="1">
      <c r="A807" s="6"/>
      <c r="B807" s="6"/>
      <c r="C807" s="6"/>
      <c r="D807" s="6"/>
    </row>
    <row r="808" ht="15.75" customHeight="1">
      <c r="A808" s="6"/>
      <c r="B808" s="6"/>
      <c r="C808" s="6"/>
      <c r="D808" s="6"/>
    </row>
    <row r="809" ht="15.75" customHeight="1">
      <c r="A809" s="6"/>
      <c r="B809" s="6"/>
      <c r="C809" s="6"/>
      <c r="D809" s="6"/>
    </row>
    <row r="810" ht="15.75" customHeight="1">
      <c r="A810" s="6"/>
      <c r="B810" s="6"/>
      <c r="C810" s="6"/>
      <c r="D810" s="6"/>
    </row>
    <row r="811" ht="15.75" customHeight="1">
      <c r="A811" s="6"/>
      <c r="B811" s="6"/>
      <c r="C811" s="6"/>
      <c r="D811" s="6"/>
    </row>
    <row r="812" ht="15.75" customHeight="1">
      <c r="A812" s="6"/>
      <c r="B812" s="6"/>
      <c r="C812" s="6"/>
      <c r="D812" s="6"/>
    </row>
    <row r="813" ht="15.75" customHeight="1">
      <c r="A813" s="6"/>
      <c r="B813" s="6"/>
      <c r="C813" s="6"/>
      <c r="D813" s="6"/>
    </row>
    <row r="814" ht="15.75" customHeight="1">
      <c r="A814" s="6"/>
      <c r="B814" s="6"/>
      <c r="C814" s="6"/>
      <c r="D814" s="6"/>
    </row>
    <row r="815" ht="15.75" customHeight="1">
      <c r="A815" s="6"/>
      <c r="B815" s="6"/>
      <c r="C815" s="6"/>
      <c r="D815" s="6"/>
    </row>
    <row r="816" ht="15.75" customHeight="1">
      <c r="A816" s="6"/>
      <c r="B816" s="6"/>
      <c r="C816" s="6"/>
      <c r="D816" s="6"/>
    </row>
    <row r="817" ht="15.75" customHeight="1">
      <c r="A817" s="6"/>
      <c r="B817" s="6"/>
      <c r="C817" s="6"/>
      <c r="D817" s="6"/>
    </row>
    <row r="818" ht="15.75" customHeight="1">
      <c r="A818" s="6"/>
      <c r="B818" s="6"/>
      <c r="C818" s="6"/>
      <c r="D818" s="6"/>
    </row>
    <row r="819" ht="15.75" customHeight="1">
      <c r="A819" s="6"/>
      <c r="B819" s="6"/>
      <c r="C819" s="6"/>
      <c r="D819" s="6"/>
    </row>
    <row r="820" ht="15.75" customHeight="1">
      <c r="A820" s="6"/>
      <c r="B820" s="6"/>
      <c r="C820" s="6"/>
      <c r="D820" s="6"/>
    </row>
    <row r="821" ht="15.75" customHeight="1">
      <c r="A821" s="6"/>
      <c r="B821" s="6"/>
      <c r="C821" s="6"/>
      <c r="D821" s="6"/>
    </row>
    <row r="822" ht="15.75" customHeight="1">
      <c r="A822" s="6"/>
      <c r="B822" s="6"/>
      <c r="C822" s="6"/>
      <c r="D822" s="6"/>
    </row>
    <row r="823" ht="15.75" customHeight="1">
      <c r="A823" s="6"/>
      <c r="B823" s="6"/>
      <c r="C823" s="6"/>
      <c r="D823" s="6"/>
    </row>
    <row r="824" ht="15.75" customHeight="1">
      <c r="A824" s="6"/>
      <c r="B824" s="6"/>
      <c r="C824" s="6"/>
      <c r="D824" s="6"/>
    </row>
    <row r="825" ht="15.75" customHeight="1">
      <c r="A825" s="6"/>
      <c r="B825" s="6"/>
      <c r="C825" s="6"/>
      <c r="D825" s="6"/>
    </row>
    <row r="826" ht="15.75" customHeight="1">
      <c r="A826" s="6"/>
      <c r="B826" s="6"/>
      <c r="C826" s="6"/>
      <c r="D826" s="6"/>
    </row>
    <row r="827" ht="15.75" customHeight="1">
      <c r="A827" s="6"/>
      <c r="B827" s="6"/>
      <c r="C827" s="6"/>
      <c r="D827" s="6"/>
    </row>
    <row r="828" ht="15.75" customHeight="1">
      <c r="A828" s="6"/>
      <c r="B828" s="6"/>
      <c r="C828" s="6"/>
      <c r="D828" s="6"/>
    </row>
    <row r="829" ht="15.75" customHeight="1">
      <c r="A829" s="6"/>
      <c r="B829" s="6"/>
      <c r="C829" s="6"/>
      <c r="D829" s="6"/>
    </row>
    <row r="830" ht="15.75" customHeight="1">
      <c r="A830" s="6"/>
      <c r="B830" s="6"/>
      <c r="C830" s="6"/>
      <c r="D830" s="6"/>
    </row>
    <row r="831" ht="15.75" customHeight="1">
      <c r="A831" s="6"/>
      <c r="B831" s="6"/>
      <c r="C831" s="6"/>
      <c r="D831" s="6"/>
    </row>
    <row r="832" ht="15.75" customHeight="1">
      <c r="A832" s="6"/>
      <c r="B832" s="6"/>
      <c r="C832" s="6"/>
      <c r="D832" s="6"/>
    </row>
    <row r="833" ht="15.75" customHeight="1">
      <c r="A833" s="6"/>
      <c r="B833" s="6"/>
      <c r="C833" s="6"/>
      <c r="D833" s="6"/>
    </row>
    <row r="834" ht="15.75" customHeight="1">
      <c r="A834" s="6"/>
      <c r="B834" s="6"/>
      <c r="C834" s="6"/>
      <c r="D834" s="6"/>
    </row>
    <row r="835" ht="15.75" customHeight="1">
      <c r="A835" s="6"/>
      <c r="B835" s="6"/>
      <c r="C835" s="6"/>
      <c r="D835" s="6"/>
    </row>
    <row r="836" ht="15.75" customHeight="1">
      <c r="A836" s="6"/>
      <c r="B836" s="6"/>
      <c r="C836" s="6"/>
      <c r="D836" s="6"/>
    </row>
    <row r="837" ht="15.75" customHeight="1">
      <c r="A837" s="6"/>
      <c r="B837" s="6"/>
      <c r="C837" s="6"/>
      <c r="D837" s="6"/>
    </row>
    <row r="838" ht="15.75" customHeight="1">
      <c r="A838" s="6"/>
      <c r="B838" s="6"/>
      <c r="C838" s="6"/>
      <c r="D838" s="6"/>
    </row>
    <row r="839" ht="15.75" customHeight="1">
      <c r="A839" s="6"/>
      <c r="B839" s="6"/>
      <c r="C839" s="6"/>
      <c r="D839" s="6"/>
    </row>
    <row r="840" ht="15.75" customHeight="1">
      <c r="A840" s="6"/>
      <c r="B840" s="6"/>
      <c r="C840" s="6"/>
      <c r="D840" s="6"/>
    </row>
    <row r="841" ht="15.75" customHeight="1">
      <c r="A841" s="6"/>
      <c r="B841" s="6"/>
      <c r="C841" s="6"/>
      <c r="D841" s="6"/>
    </row>
    <row r="842" ht="15.75" customHeight="1">
      <c r="A842" s="6"/>
      <c r="B842" s="6"/>
      <c r="C842" s="6"/>
      <c r="D842" s="6"/>
    </row>
    <row r="843" ht="15.75" customHeight="1">
      <c r="A843" s="6"/>
      <c r="B843" s="6"/>
      <c r="C843" s="6"/>
      <c r="D843" s="6"/>
    </row>
    <row r="844" ht="15.75" customHeight="1">
      <c r="A844" s="6"/>
      <c r="B844" s="6"/>
      <c r="C844" s="6"/>
      <c r="D844" s="6"/>
    </row>
    <row r="845" ht="15.75" customHeight="1">
      <c r="A845" s="6"/>
      <c r="B845" s="6"/>
      <c r="C845" s="6"/>
      <c r="D845" s="6"/>
    </row>
    <row r="846" ht="15.75" customHeight="1">
      <c r="A846" s="6"/>
      <c r="B846" s="6"/>
      <c r="C846" s="6"/>
      <c r="D846" s="6"/>
    </row>
    <row r="847" ht="15.75" customHeight="1">
      <c r="A847" s="6"/>
      <c r="B847" s="6"/>
      <c r="C847" s="6"/>
      <c r="D847" s="6"/>
    </row>
    <row r="848" ht="15.75" customHeight="1">
      <c r="A848" s="6"/>
      <c r="B848" s="6"/>
      <c r="C848" s="6"/>
      <c r="D848" s="6"/>
    </row>
    <row r="849" ht="15.75" customHeight="1">
      <c r="A849" s="6"/>
      <c r="B849" s="6"/>
      <c r="C849" s="6"/>
      <c r="D849" s="6"/>
    </row>
    <row r="850" ht="15.75" customHeight="1">
      <c r="A850" s="6"/>
      <c r="B850" s="6"/>
      <c r="C850" s="6"/>
      <c r="D850" s="6"/>
    </row>
    <row r="851" ht="15.75" customHeight="1">
      <c r="A851" s="6"/>
      <c r="B851" s="6"/>
      <c r="C851" s="6"/>
      <c r="D851" s="6"/>
    </row>
    <row r="852" ht="15.75" customHeight="1">
      <c r="A852" s="6"/>
      <c r="B852" s="6"/>
      <c r="C852" s="6"/>
      <c r="D852" s="6"/>
    </row>
    <row r="853" ht="15.75" customHeight="1">
      <c r="A853" s="6"/>
      <c r="B853" s="6"/>
      <c r="C853" s="6"/>
      <c r="D853" s="6"/>
    </row>
    <row r="854" ht="15.75" customHeight="1">
      <c r="A854" s="6"/>
      <c r="B854" s="6"/>
      <c r="C854" s="6"/>
      <c r="D854" s="6"/>
    </row>
    <row r="855" ht="15.75" customHeight="1">
      <c r="A855" s="6"/>
      <c r="B855" s="6"/>
      <c r="C855" s="6"/>
      <c r="D855" s="6"/>
    </row>
    <row r="856" ht="15.75" customHeight="1">
      <c r="A856" s="6"/>
      <c r="B856" s="6"/>
      <c r="C856" s="6"/>
      <c r="D856" s="6"/>
    </row>
    <row r="857" ht="15.75" customHeight="1">
      <c r="A857" s="6"/>
      <c r="B857" s="6"/>
      <c r="C857" s="6"/>
      <c r="D857" s="6"/>
    </row>
    <row r="858" ht="15.75" customHeight="1">
      <c r="A858" s="6"/>
      <c r="B858" s="6"/>
      <c r="C858" s="6"/>
      <c r="D858" s="6"/>
    </row>
    <row r="859" ht="15.75" customHeight="1">
      <c r="A859" s="6"/>
      <c r="B859" s="6"/>
      <c r="C859" s="6"/>
      <c r="D859" s="6"/>
    </row>
    <row r="860" ht="15.75" customHeight="1">
      <c r="A860" s="6"/>
      <c r="B860" s="6"/>
      <c r="C860" s="6"/>
      <c r="D860" s="6"/>
    </row>
    <row r="861" ht="15.75" customHeight="1">
      <c r="A861" s="6"/>
      <c r="B861" s="6"/>
      <c r="C861" s="6"/>
      <c r="D861" s="6"/>
    </row>
    <row r="862" ht="15.75" customHeight="1">
      <c r="A862" s="6"/>
      <c r="B862" s="6"/>
      <c r="C862" s="6"/>
      <c r="D862" s="6"/>
    </row>
    <row r="863" ht="15.75" customHeight="1">
      <c r="A863" s="6"/>
      <c r="B863" s="6"/>
      <c r="C863" s="6"/>
      <c r="D863" s="6"/>
    </row>
    <row r="864" ht="15.75" customHeight="1">
      <c r="A864" s="6"/>
      <c r="B864" s="6"/>
      <c r="C864" s="6"/>
      <c r="D864" s="6"/>
    </row>
    <row r="865" ht="15.75" customHeight="1">
      <c r="A865" s="6"/>
      <c r="B865" s="6"/>
      <c r="C865" s="6"/>
      <c r="D865" s="6"/>
    </row>
    <row r="866" ht="15.75" customHeight="1">
      <c r="A866" s="6"/>
      <c r="B866" s="6"/>
      <c r="C866" s="6"/>
      <c r="D866" s="6"/>
    </row>
    <row r="867" ht="15.75" customHeight="1">
      <c r="A867" s="6"/>
      <c r="B867" s="6"/>
      <c r="C867" s="6"/>
      <c r="D867" s="6"/>
    </row>
    <row r="868" ht="15.75" customHeight="1">
      <c r="A868" s="6"/>
      <c r="B868" s="6"/>
      <c r="C868" s="6"/>
      <c r="D868" s="6"/>
    </row>
    <row r="869" ht="15.75" customHeight="1">
      <c r="A869" s="6"/>
      <c r="B869" s="6"/>
      <c r="C869" s="6"/>
      <c r="D869" s="6"/>
    </row>
    <row r="870" ht="15.75" customHeight="1">
      <c r="A870" s="6"/>
      <c r="B870" s="6"/>
      <c r="C870" s="6"/>
      <c r="D870" s="6"/>
    </row>
    <row r="871" ht="15.75" customHeight="1">
      <c r="A871" s="6"/>
      <c r="B871" s="6"/>
      <c r="C871" s="6"/>
      <c r="D871" s="6"/>
    </row>
    <row r="872" ht="15.75" customHeight="1">
      <c r="A872" s="6"/>
      <c r="B872" s="6"/>
      <c r="C872" s="6"/>
      <c r="D872" s="6"/>
    </row>
    <row r="873" ht="15.75" customHeight="1">
      <c r="A873" s="6"/>
      <c r="B873" s="6"/>
      <c r="C873" s="6"/>
      <c r="D873" s="6"/>
    </row>
    <row r="874" ht="15.75" customHeight="1">
      <c r="A874" s="6"/>
      <c r="B874" s="6"/>
      <c r="C874" s="6"/>
      <c r="D874" s="6"/>
    </row>
    <row r="875" ht="15.75" customHeight="1">
      <c r="A875" s="6"/>
      <c r="B875" s="6"/>
      <c r="C875" s="6"/>
      <c r="D875" s="6"/>
    </row>
    <row r="876" ht="15.75" customHeight="1">
      <c r="A876" s="6"/>
      <c r="B876" s="6"/>
      <c r="C876" s="6"/>
      <c r="D876" s="6"/>
    </row>
    <row r="877" ht="15.75" customHeight="1">
      <c r="A877" s="6"/>
      <c r="B877" s="6"/>
      <c r="C877" s="6"/>
      <c r="D877" s="6"/>
    </row>
    <row r="878" ht="15.75" customHeight="1">
      <c r="A878" s="6"/>
      <c r="B878" s="6"/>
      <c r="C878" s="6"/>
      <c r="D878" s="6"/>
    </row>
    <row r="879" ht="15.75" customHeight="1">
      <c r="A879" s="6"/>
      <c r="B879" s="6"/>
      <c r="C879" s="6"/>
      <c r="D879" s="6"/>
    </row>
    <row r="880" ht="15.75" customHeight="1">
      <c r="A880" s="6"/>
      <c r="B880" s="6"/>
      <c r="C880" s="6"/>
      <c r="D880" s="6"/>
    </row>
    <row r="881" ht="15.75" customHeight="1">
      <c r="A881" s="6"/>
      <c r="B881" s="6"/>
      <c r="C881" s="6"/>
      <c r="D881" s="6"/>
    </row>
    <row r="882" ht="15.75" customHeight="1">
      <c r="A882" s="6"/>
      <c r="B882" s="6"/>
      <c r="C882" s="6"/>
      <c r="D882" s="6"/>
    </row>
    <row r="883" ht="15.75" customHeight="1">
      <c r="A883" s="6"/>
      <c r="B883" s="6"/>
      <c r="C883" s="6"/>
      <c r="D883" s="6"/>
    </row>
    <row r="884" ht="15.75" customHeight="1">
      <c r="A884" s="6"/>
      <c r="B884" s="6"/>
      <c r="C884" s="6"/>
      <c r="D884" s="6"/>
    </row>
    <row r="885" ht="15.75" customHeight="1">
      <c r="A885" s="6"/>
      <c r="B885" s="6"/>
      <c r="C885" s="6"/>
      <c r="D885" s="6"/>
    </row>
    <row r="886" ht="15.75" customHeight="1">
      <c r="A886" s="6"/>
      <c r="B886" s="6"/>
      <c r="C886" s="6"/>
      <c r="D886" s="6"/>
    </row>
    <row r="887" ht="15.75" customHeight="1">
      <c r="A887" s="6"/>
      <c r="B887" s="6"/>
      <c r="C887" s="6"/>
      <c r="D887" s="6"/>
    </row>
    <row r="888" ht="15.75" customHeight="1">
      <c r="A888" s="6"/>
      <c r="B888" s="6"/>
      <c r="C888" s="6"/>
      <c r="D888" s="6"/>
    </row>
    <row r="889" ht="15.75" customHeight="1">
      <c r="A889" s="6"/>
      <c r="B889" s="6"/>
      <c r="C889" s="6"/>
      <c r="D889" s="6"/>
    </row>
    <row r="890" ht="15.75" customHeight="1">
      <c r="A890" s="6"/>
      <c r="B890" s="6"/>
      <c r="C890" s="6"/>
      <c r="D890" s="6"/>
    </row>
    <row r="891" ht="15.75" customHeight="1">
      <c r="A891" s="6"/>
      <c r="B891" s="6"/>
      <c r="C891" s="6"/>
      <c r="D891" s="6"/>
    </row>
    <row r="892" ht="15.75" customHeight="1">
      <c r="A892" s="6"/>
      <c r="B892" s="6"/>
      <c r="C892" s="6"/>
      <c r="D892" s="6"/>
    </row>
    <row r="893" ht="15.75" customHeight="1">
      <c r="A893" s="6"/>
      <c r="B893" s="6"/>
      <c r="C893" s="6"/>
      <c r="D893" s="6"/>
    </row>
    <row r="894" ht="15.75" customHeight="1">
      <c r="A894" s="6"/>
      <c r="B894" s="6"/>
      <c r="C894" s="6"/>
      <c r="D894" s="6"/>
    </row>
    <row r="895" ht="15.75" customHeight="1">
      <c r="A895" s="6"/>
      <c r="B895" s="6"/>
      <c r="C895" s="6"/>
      <c r="D895" s="6"/>
    </row>
    <row r="896" ht="15.75" customHeight="1">
      <c r="A896" s="6"/>
      <c r="B896" s="6"/>
      <c r="C896" s="6"/>
      <c r="D896" s="6"/>
    </row>
    <row r="897" ht="15.75" customHeight="1">
      <c r="A897" s="6"/>
      <c r="B897" s="6"/>
      <c r="C897" s="6"/>
      <c r="D897" s="6"/>
    </row>
    <row r="898" ht="15.75" customHeight="1">
      <c r="A898" s="6"/>
      <c r="B898" s="6"/>
      <c r="C898" s="6"/>
      <c r="D898" s="6"/>
    </row>
    <row r="899" ht="15.75" customHeight="1">
      <c r="A899" s="6"/>
      <c r="B899" s="6"/>
      <c r="C899" s="6"/>
      <c r="D899" s="6"/>
    </row>
    <row r="900" ht="15.75" customHeight="1">
      <c r="A900" s="6"/>
      <c r="B900" s="6"/>
      <c r="C900" s="6"/>
      <c r="D900" s="6"/>
    </row>
    <row r="901" ht="15.75" customHeight="1">
      <c r="A901" s="6"/>
      <c r="B901" s="6"/>
      <c r="C901" s="6"/>
      <c r="D901" s="6"/>
    </row>
    <row r="902" ht="15.75" customHeight="1">
      <c r="A902" s="6"/>
      <c r="B902" s="6"/>
      <c r="C902" s="6"/>
      <c r="D902" s="6"/>
    </row>
    <row r="903" ht="15.75" customHeight="1">
      <c r="A903" s="6"/>
      <c r="B903" s="6"/>
      <c r="C903" s="6"/>
      <c r="D903" s="6"/>
    </row>
    <row r="904" ht="15.75" customHeight="1">
      <c r="A904" s="6"/>
      <c r="B904" s="6"/>
      <c r="C904" s="6"/>
      <c r="D904" s="6"/>
    </row>
    <row r="905" ht="15.75" customHeight="1">
      <c r="A905" s="6"/>
      <c r="B905" s="6"/>
      <c r="C905" s="6"/>
      <c r="D905" s="6"/>
    </row>
    <row r="906" ht="15.75" customHeight="1">
      <c r="A906" s="6"/>
      <c r="B906" s="6"/>
      <c r="C906" s="6"/>
      <c r="D906" s="6"/>
    </row>
    <row r="907" ht="15.75" customHeight="1">
      <c r="A907" s="6"/>
      <c r="B907" s="6"/>
      <c r="C907" s="6"/>
      <c r="D907" s="6"/>
    </row>
    <row r="908" ht="15.75" customHeight="1">
      <c r="A908" s="6"/>
      <c r="B908" s="6"/>
      <c r="C908" s="6"/>
      <c r="D908" s="6"/>
    </row>
    <row r="909" ht="15.75" customHeight="1">
      <c r="A909" s="6"/>
      <c r="B909" s="6"/>
      <c r="C909" s="6"/>
      <c r="D909" s="6"/>
    </row>
    <row r="910" ht="15.75" customHeight="1">
      <c r="A910" s="6"/>
      <c r="B910" s="6"/>
      <c r="C910" s="6"/>
      <c r="D910" s="6"/>
    </row>
    <row r="911" ht="15.75" customHeight="1">
      <c r="A911" s="6"/>
      <c r="B911" s="6"/>
      <c r="C911" s="6"/>
      <c r="D911" s="6"/>
    </row>
    <row r="912" ht="15.75" customHeight="1">
      <c r="A912" s="6"/>
      <c r="B912" s="6"/>
      <c r="C912" s="6"/>
      <c r="D912" s="6"/>
    </row>
    <row r="913" ht="15.75" customHeight="1">
      <c r="A913" s="6"/>
      <c r="B913" s="6"/>
      <c r="C913" s="6"/>
      <c r="D913" s="6"/>
    </row>
    <row r="914" ht="15.75" customHeight="1">
      <c r="A914" s="6"/>
      <c r="B914" s="6"/>
      <c r="C914" s="6"/>
      <c r="D914" s="6"/>
    </row>
    <row r="915" ht="15.75" customHeight="1">
      <c r="A915" s="6"/>
      <c r="B915" s="6"/>
      <c r="C915" s="6"/>
      <c r="D915" s="6"/>
    </row>
    <row r="916" ht="15.75" customHeight="1">
      <c r="A916" s="6"/>
      <c r="B916" s="6"/>
      <c r="C916" s="6"/>
      <c r="D916" s="6"/>
    </row>
    <row r="917" ht="15.75" customHeight="1">
      <c r="A917" s="6"/>
      <c r="B917" s="6"/>
      <c r="C917" s="6"/>
      <c r="D917" s="6"/>
    </row>
    <row r="918" ht="15.75" customHeight="1">
      <c r="A918" s="6"/>
      <c r="B918" s="6"/>
      <c r="C918" s="6"/>
      <c r="D918" s="6"/>
    </row>
    <row r="919" ht="15.75" customHeight="1">
      <c r="A919" s="6"/>
      <c r="B919" s="6"/>
      <c r="C919" s="6"/>
      <c r="D919" s="6"/>
    </row>
    <row r="920" ht="15.75" customHeight="1">
      <c r="A920" s="6"/>
      <c r="B920" s="6"/>
      <c r="C920" s="6"/>
      <c r="D920" s="6"/>
    </row>
    <row r="921" ht="15.75" customHeight="1">
      <c r="A921" s="6"/>
      <c r="B921" s="6"/>
      <c r="C921" s="6"/>
      <c r="D921" s="6"/>
    </row>
    <row r="922" ht="15.75" customHeight="1">
      <c r="A922" s="6"/>
      <c r="B922" s="6"/>
      <c r="C922" s="6"/>
      <c r="D922" s="6"/>
    </row>
    <row r="923" ht="15.75" customHeight="1">
      <c r="A923" s="6"/>
      <c r="B923" s="6"/>
      <c r="C923" s="6"/>
      <c r="D923" s="6"/>
    </row>
    <row r="924" ht="15.75" customHeight="1">
      <c r="A924" s="6"/>
      <c r="B924" s="6"/>
      <c r="C924" s="6"/>
      <c r="D924" s="6"/>
    </row>
    <row r="925" ht="15.75" customHeight="1">
      <c r="A925" s="6"/>
      <c r="B925" s="6"/>
      <c r="C925" s="6"/>
      <c r="D925" s="6"/>
    </row>
    <row r="926" ht="15.75" customHeight="1">
      <c r="A926" s="6"/>
      <c r="B926" s="6"/>
      <c r="C926" s="6"/>
      <c r="D926" s="6"/>
    </row>
    <row r="927" ht="15.75" customHeight="1">
      <c r="A927" s="6"/>
      <c r="B927" s="6"/>
      <c r="C927" s="6"/>
      <c r="D927" s="6"/>
    </row>
    <row r="928" ht="15.75" customHeight="1">
      <c r="A928" s="6"/>
      <c r="B928" s="6"/>
      <c r="C928" s="6"/>
      <c r="D928" s="6"/>
    </row>
    <row r="929" ht="15.75" customHeight="1">
      <c r="A929" s="6"/>
      <c r="B929" s="6"/>
      <c r="C929" s="6"/>
      <c r="D929" s="6"/>
    </row>
    <row r="930" ht="15.75" customHeight="1">
      <c r="A930" s="6"/>
      <c r="B930" s="6"/>
      <c r="C930" s="6"/>
      <c r="D930" s="6"/>
    </row>
    <row r="931" ht="15.75" customHeight="1">
      <c r="A931" s="6"/>
      <c r="B931" s="6"/>
      <c r="C931" s="6"/>
      <c r="D931" s="6"/>
    </row>
    <row r="932" ht="15.75" customHeight="1">
      <c r="A932" s="6"/>
      <c r="B932" s="6"/>
      <c r="C932" s="6"/>
      <c r="D932" s="6"/>
    </row>
    <row r="933" ht="15.75" customHeight="1">
      <c r="A933" s="6"/>
      <c r="B933" s="6"/>
      <c r="C933" s="6"/>
      <c r="D933" s="6"/>
    </row>
    <row r="934" ht="15.75" customHeight="1">
      <c r="A934" s="6"/>
      <c r="B934" s="6"/>
      <c r="C934" s="6"/>
      <c r="D934" s="6"/>
    </row>
    <row r="935" ht="15.75" customHeight="1">
      <c r="A935" s="6"/>
      <c r="B935" s="6"/>
      <c r="C935" s="6"/>
      <c r="D935" s="6"/>
    </row>
    <row r="936" ht="15.75" customHeight="1">
      <c r="A936" s="6"/>
      <c r="B936" s="6"/>
      <c r="C936" s="6"/>
      <c r="D936" s="6"/>
    </row>
    <row r="937" ht="15.75" customHeight="1">
      <c r="A937" s="6"/>
      <c r="B937" s="6"/>
      <c r="C937" s="6"/>
      <c r="D937" s="6"/>
    </row>
    <row r="938" ht="15.75" customHeight="1">
      <c r="A938" s="6"/>
      <c r="B938" s="6"/>
      <c r="C938" s="6"/>
      <c r="D938" s="6"/>
    </row>
    <row r="939" ht="15.75" customHeight="1">
      <c r="A939" s="6"/>
      <c r="B939" s="6"/>
      <c r="C939" s="6"/>
      <c r="D939" s="6"/>
    </row>
    <row r="940" ht="15.75" customHeight="1">
      <c r="A940" s="6"/>
      <c r="B940" s="6"/>
      <c r="C940" s="6"/>
      <c r="D940" s="6"/>
    </row>
    <row r="941" ht="15.75" customHeight="1">
      <c r="A941" s="6"/>
      <c r="B941" s="6"/>
      <c r="C941" s="6"/>
      <c r="D941" s="6"/>
    </row>
    <row r="942" ht="15.75" customHeight="1">
      <c r="A942" s="6"/>
      <c r="B942" s="6"/>
      <c r="C942" s="6"/>
      <c r="D942" s="6"/>
    </row>
    <row r="943" ht="15.75" customHeight="1">
      <c r="A943" s="6"/>
      <c r="B943" s="6"/>
      <c r="C943" s="6"/>
      <c r="D943" s="6"/>
    </row>
    <row r="944" ht="15.75" customHeight="1">
      <c r="A944" s="6"/>
      <c r="B944" s="6"/>
      <c r="C944" s="6"/>
      <c r="D944" s="6"/>
    </row>
    <row r="945" ht="15.75" customHeight="1">
      <c r="A945" s="6"/>
      <c r="B945" s="6"/>
      <c r="C945" s="6"/>
      <c r="D945" s="6"/>
    </row>
    <row r="946" ht="15.75" customHeight="1">
      <c r="A946" s="6"/>
      <c r="B946" s="6"/>
      <c r="C946" s="6"/>
      <c r="D946" s="6"/>
    </row>
    <row r="947" ht="15.75" customHeight="1">
      <c r="A947" s="6"/>
      <c r="B947" s="6"/>
      <c r="C947" s="6"/>
      <c r="D947" s="6"/>
    </row>
    <row r="948" ht="15.75" customHeight="1">
      <c r="A948" s="6"/>
      <c r="B948" s="6"/>
      <c r="C948" s="6"/>
      <c r="D948" s="6"/>
    </row>
    <row r="949" ht="15.75" customHeight="1">
      <c r="A949" s="6"/>
      <c r="B949" s="6"/>
      <c r="C949" s="6"/>
      <c r="D949" s="6"/>
    </row>
    <row r="950" ht="15.75" customHeight="1">
      <c r="A950" s="6"/>
      <c r="B950" s="6"/>
      <c r="C950" s="6"/>
      <c r="D950" s="6"/>
    </row>
    <row r="951" ht="15.75" customHeight="1">
      <c r="A951" s="6"/>
      <c r="B951" s="6"/>
      <c r="C951" s="6"/>
      <c r="D951" s="6"/>
    </row>
    <row r="952" ht="15.75" customHeight="1">
      <c r="A952" s="6"/>
      <c r="B952" s="6"/>
      <c r="C952" s="6"/>
      <c r="D952" s="6"/>
    </row>
    <row r="953" ht="15.75" customHeight="1">
      <c r="A953" s="6"/>
      <c r="B953" s="6"/>
      <c r="C953" s="6"/>
      <c r="D953" s="6"/>
    </row>
    <row r="954" ht="15.75" customHeight="1">
      <c r="A954" s="6"/>
      <c r="B954" s="6"/>
      <c r="C954" s="6"/>
      <c r="D954" s="6"/>
    </row>
    <row r="955" ht="15.75" customHeight="1">
      <c r="A955" s="6"/>
      <c r="B955" s="6"/>
      <c r="C955" s="6"/>
      <c r="D955" s="6"/>
    </row>
    <row r="956" ht="15.75" customHeight="1">
      <c r="A956" s="6"/>
      <c r="B956" s="6"/>
      <c r="C956" s="6"/>
      <c r="D956" s="6"/>
    </row>
    <row r="957" ht="15.75" customHeight="1">
      <c r="A957" s="6"/>
      <c r="B957" s="6"/>
      <c r="C957" s="6"/>
      <c r="D957" s="6"/>
    </row>
    <row r="958" ht="15.75" customHeight="1">
      <c r="A958" s="6"/>
      <c r="B958" s="6"/>
      <c r="C958" s="6"/>
      <c r="D958" s="6"/>
    </row>
    <row r="959" ht="15.75" customHeight="1">
      <c r="A959" s="6"/>
      <c r="B959" s="6"/>
      <c r="C959" s="6"/>
      <c r="D959" s="6"/>
    </row>
    <row r="960" ht="15.75" customHeight="1">
      <c r="A960" s="6"/>
      <c r="B960" s="6"/>
      <c r="C960" s="6"/>
      <c r="D960" s="6"/>
    </row>
    <row r="961" ht="15.75" customHeight="1">
      <c r="A961" s="6"/>
      <c r="B961" s="6"/>
      <c r="C961" s="6"/>
      <c r="D961" s="6"/>
    </row>
    <row r="962" ht="15.75" customHeight="1">
      <c r="A962" s="6"/>
      <c r="B962" s="6"/>
      <c r="C962" s="6"/>
      <c r="D962" s="6"/>
    </row>
    <row r="963" ht="15.75" customHeight="1">
      <c r="A963" s="6"/>
      <c r="B963" s="6"/>
      <c r="C963" s="6"/>
      <c r="D963" s="6"/>
    </row>
    <row r="964" ht="15.75" customHeight="1">
      <c r="A964" s="6"/>
      <c r="B964" s="6"/>
      <c r="C964" s="6"/>
      <c r="D964" s="6"/>
    </row>
    <row r="965" ht="15.75" customHeight="1">
      <c r="A965" s="6"/>
      <c r="B965" s="6"/>
      <c r="C965" s="6"/>
      <c r="D965" s="6"/>
    </row>
    <row r="966" ht="15.75" customHeight="1">
      <c r="A966" s="6"/>
      <c r="B966" s="6"/>
      <c r="C966" s="6"/>
      <c r="D966" s="6"/>
    </row>
    <row r="967" ht="15.75" customHeight="1">
      <c r="A967" s="6"/>
      <c r="B967" s="6"/>
      <c r="C967" s="6"/>
      <c r="D967" s="6"/>
    </row>
    <row r="968" ht="15.75" customHeight="1">
      <c r="A968" s="6"/>
      <c r="B968" s="6"/>
      <c r="C968" s="6"/>
      <c r="D968" s="6"/>
    </row>
    <row r="969" ht="15.75" customHeight="1">
      <c r="A969" s="6"/>
      <c r="B969" s="6"/>
      <c r="C969" s="6"/>
      <c r="D969" s="6"/>
    </row>
    <row r="970" ht="15.75" customHeight="1">
      <c r="A970" s="6"/>
      <c r="B970" s="6"/>
      <c r="C970" s="6"/>
      <c r="D970" s="6"/>
    </row>
    <row r="971" ht="15.75" customHeight="1">
      <c r="A971" s="6"/>
      <c r="B971" s="6"/>
      <c r="C971" s="6"/>
      <c r="D971" s="6"/>
    </row>
    <row r="972" ht="15.75" customHeight="1">
      <c r="A972" s="6"/>
      <c r="B972" s="6"/>
      <c r="C972" s="6"/>
      <c r="D972" s="6"/>
    </row>
    <row r="973" ht="15.75" customHeight="1">
      <c r="A973" s="6"/>
      <c r="B973" s="6"/>
      <c r="C973" s="6"/>
      <c r="D973" s="6"/>
    </row>
    <row r="974" ht="15.75" customHeight="1">
      <c r="A974" s="6"/>
      <c r="B974" s="6"/>
      <c r="C974" s="6"/>
      <c r="D974" s="6"/>
    </row>
    <row r="975" ht="15.75" customHeight="1">
      <c r="A975" s="6"/>
      <c r="B975" s="6"/>
      <c r="C975" s="6"/>
      <c r="D975" s="6"/>
    </row>
    <row r="976" ht="15.75" customHeight="1">
      <c r="A976" s="6"/>
      <c r="B976" s="6"/>
      <c r="C976" s="6"/>
      <c r="D976" s="6"/>
    </row>
    <row r="977" ht="15.75" customHeight="1">
      <c r="A977" s="6"/>
      <c r="B977" s="6"/>
      <c r="C977" s="6"/>
      <c r="D977" s="6"/>
    </row>
    <row r="978" ht="15.75" customHeight="1">
      <c r="A978" s="6"/>
      <c r="B978" s="6"/>
      <c r="C978" s="6"/>
      <c r="D978" s="6"/>
    </row>
    <row r="979" ht="15.75" customHeight="1">
      <c r="A979" s="6"/>
      <c r="B979" s="6"/>
      <c r="C979" s="6"/>
      <c r="D979" s="6"/>
    </row>
    <row r="980" ht="15.75" customHeight="1">
      <c r="A980" s="6"/>
      <c r="B980" s="6"/>
      <c r="C980" s="6"/>
      <c r="D980" s="6"/>
    </row>
    <row r="981" ht="15.75" customHeight="1">
      <c r="A981" s="6"/>
      <c r="B981" s="6"/>
      <c r="C981" s="6"/>
      <c r="D981" s="6"/>
    </row>
    <row r="982" ht="15.75" customHeight="1">
      <c r="A982" s="6"/>
      <c r="B982" s="6"/>
      <c r="C982" s="6"/>
      <c r="D982" s="6"/>
    </row>
    <row r="983" ht="15.75" customHeight="1">
      <c r="A983" s="6"/>
      <c r="B983" s="6"/>
      <c r="C983" s="6"/>
      <c r="D983" s="6"/>
    </row>
    <row r="984" ht="15.75" customHeight="1">
      <c r="A984" s="6"/>
      <c r="B984" s="6"/>
      <c r="C984" s="6"/>
      <c r="D984" s="6"/>
    </row>
    <row r="985" ht="15.75" customHeight="1">
      <c r="A985" s="6"/>
      <c r="B985" s="6"/>
      <c r="C985" s="6"/>
      <c r="D985" s="6"/>
    </row>
    <row r="986" ht="15.75" customHeight="1">
      <c r="A986" s="6"/>
      <c r="B986" s="6"/>
      <c r="C986" s="6"/>
      <c r="D986" s="6"/>
    </row>
    <row r="987" ht="15.75" customHeight="1">
      <c r="A987" s="6"/>
      <c r="B987" s="6"/>
      <c r="C987" s="6"/>
      <c r="D987" s="6"/>
    </row>
    <row r="988" ht="15.75" customHeight="1">
      <c r="A988" s="6"/>
      <c r="B988" s="6"/>
      <c r="C988" s="6"/>
      <c r="D988" s="6"/>
    </row>
    <row r="989" ht="15.75" customHeight="1">
      <c r="A989" s="6"/>
      <c r="B989" s="6"/>
      <c r="C989" s="6"/>
      <c r="D989" s="6"/>
    </row>
    <row r="990" ht="15.75" customHeight="1">
      <c r="A990" s="6"/>
      <c r="B990" s="6"/>
      <c r="C990" s="6"/>
      <c r="D990" s="6"/>
    </row>
    <row r="991" ht="15.75" customHeight="1">
      <c r="A991" s="6"/>
      <c r="B991" s="6"/>
      <c r="C991" s="6"/>
      <c r="D991" s="6"/>
    </row>
    <row r="992" ht="15.75" customHeight="1">
      <c r="A992" s="6"/>
      <c r="B992" s="6"/>
      <c r="C992" s="6"/>
      <c r="D992" s="6"/>
    </row>
    <row r="993" ht="15.75" customHeight="1">
      <c r="A993" s="6"/>
      <c r="B993" s="6"/>
      <c r="C993" s="6"/>
      <c r="D993" s="6"/>
    </row>
    <row r="994" ht="15.75" customHeight="1">
      <c r="A994" s="6"/>
      <c r="B994" s="6"/>
      <c r="C994" s="6"/>
      <c r="D994" s="6"/>
    </row>
    <row r="995" ht="15.75" customHeight="1">
      <c r="A995" s="6"/>
      <c r="B995" s="6"/>
      <c r="C995" s="6"/>
      <c r="D995" s="6"/>
    </row>
    <row r="996" ht="15.75" customHeight="1">
      <c r="A996" s="6"/>
      <c r="B996" s="6"/>
      <c r="C996" s="6"/>
      <c r="D996" s="6"/>
    </row>
    <row r="997" ht="15.75" customHeight="1">
      <c r="A997" s="6"/>
      <c r="B997" s="6"/>
      <c r="C997" s="6"/>
      <c r="D997" s="6"/>
    </row>
    <row r="998" ht="15.75" customHeight="1">
      <c r="A998" s="6"/>
      <c r="B998" s="6"/>
      <c r="C998" s="6"/>
      <c r="D998" s="6"/>
    </row>
    <row r="999" ht="15.75" customHeight="1">
      <c r="A999" s="6"/>
      <c r="B999" s="6"/>
      <c r="C999" s="6"/>
      <c r="D999" s="6"/>
    </row>
    <row r="1000" ht="15.75" customHeight="1">
      <c r="A1000" s="6"/>
      <c r="B1000" s="6"/>
      <c r="C1000" s="6"/>
      <c r="D1000" s="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</hyperlinks>
  <printOptions/>
  <pageMargins bottom="1.0" footer="0.0" header="0.0" left="0.75" right="0.75" top="1.0"/>
  <pageSetup paperSize="9" orientation="portrait"/>
  <drawing r:id="rId5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24.0"/>
    <col customWidth="1" min="4" max="4" width="12.0"/>
    <col customWidth="1" min="5" max="6" width="16.0"/>
    <col customWidth="1" min="7" max="26" width="8.71"/>
  </cols>
  <sheetData>
    <row r="1" ht="15.0" customHeight="1">
      <c r="A1" s="41" t="s">
        <v>0</v>
      </c>
      <c r="B1" s="41" t="s">
        <v>15</v>
      </c>
      <c r="C1" s="41" t="s">
        <v>529</v>
      </c>
      <c r="D1" s="41" t="s">
        <v>530</v>
      </c>
      <c r="E1" s="41" t="s">
        <v>531</v>
      </c>
      <c r="F1" s="41" t="s">
        <v>64</v>
      </c>
    </row>
    <row r="2" ht="15.0" customHeight="1">
      <c r="A2" s="6">
        <v>2006.0</v>
      </c>
      <c r="B2" s="6">
        <f>COUNTIF(Cases!C:C,A2)</f>
        <v>4</v>
      </c>
      <c r="C2" s="42">
        <f>SUMIF(Cases!C:C,A2,Cases!F:F)</f>
        <v>1.7</v>
      </c>
      <c r="D2" s="6">
        <f>COUNTIFS(Cases!C:C,A2,Cases!F:F,"&gt;0")</f>
        <v>2</v>
      </c>
      <c r="E2" s="6">
        <f>COUNTIFS(Cases!C:C,A2,Cases!F:F,0)</f>
        <v>2</v>
      </c>
      <c r="F2" s="6">
        <f>COUNTIFS(Cases!C:C,A2,Cases!Q:Q,"High")</f>
        <v>2</v>
      </c>
    </row>
    <row r="3" ht="15.0" customHeight="1">
      <c r="A3" s="6">
        <v>2007.0</v>
      </c>
      <c r="B3" s="6">
        <f>COUNTIF(Cases!C:C,A3)</f>
        <v>6</v>
      </c>
      <c r="C3" s="42">
        <f>SUMIF(Cases!C:C,A3,Cases!F:F)</f>
        <v>11</v>
      </c>
      <c r="D3" s="6">
        <f>COUNTIFS(Cases!C:C,A3,Cases!F:F,"&gt;0")</f>
        <v>3</v>
      </c>
      <c r="E3" s="6">
        <f>COUNTIFS(Cases!C:C,A3,Cases!F:F,0)</f>
        <v>3</v>
      </c>
      <c r="F3" s="6">
        <f>COUNTIFS(Cases!C:C,A3,Cases!Q:Q,"High")</f>
        <v>2</v>
      </c>
    </row>
    <row r="4" ht="15.0" customHeight="1">
      <c r="A4" s="6">
        <v>2008.0</v>
      </c>
      <c r="B4" s="6">
        <f>COUNTIF(Cases!C:C,A4)</f>
        <v>6</v>
      </c>
      <c r="C4" s="42">
        <f>SUMIF(Cases!C:C,A4,Cases!F:F)</f>
        <v>14.2</v>
      </c>
      <c r="D4" s="6">
        <f>COUNTIFS(Cases!C:C,A4,Cases!F:F,"&gt;0")</f>
        <v>4</v>
      </c>
      <c r="E4" s="6">
        <f>COUNTIFS(Cases!C:C,A4,Cases!F:F,0)</f>
        <v>2</v>
      </c>
      <c r="F4" s="6">
        <f>COUNTIFS(Cases!C:C,A4,Cases!Q:Q,"High")</f>
        <v>1</v>
      </c>
    </row>
    <row r="5" ht="15.0" customHeight="1">
      <c r="A5" s="6">
        <v>2009.0</v>
      </c>
      <c r="B5" s="6">
        <f>COUNTIF(Cases!C:C,A5)</f>
        <v>6</v>
      </c>
      <c r="C5" s="42">
        <f>SUMIF(Cases!C:C,A5,Cases!F:F)</f>
        <v>30</v>
      </c>
      <c r="D5" s="6">
        <f>COUNTIFS(Cases!C:C,A5,Cases!F:F,"&gt;0")</f>
        <v>5</v>
      </c>
      <c r="E5" s="6">
        <f>COUNTIFS(Cases!C:C,A5,Cases!F:F,0)</f>
        <v>1</v>
      </c>
      <c r="F5" s="6">
        <f>COUNTIFS(Cases!C:C,A5,Cases!Q:Q,"High")</f>
        <v>3</v>
      </c>
    </row>
    <row r="6" ht="15.0" customHeight="1">
      <c r="A6" s="6">
        <v>2010.0</v>
      </c>
      <c r="B6" s="6">
        <f>COUNTIF(Cases!C:C,A6)</f>
        <v>4</v>
      </c>
      <c r="C6" s="42">
        <f>SUMIF(Cases!C:C,A6,Cases!F:F)</f>
        <v>8.4</v>
      </c>
      <c r="D6" s="6">
        <f>COUNTIFS(Cases!C:C,A6,Cases!F:F,"&gt;0")</f>
        <v>2</v>
      </c>
      <c r="E6" s="6">
        <f>COUNTIFS(Cases!C:C,A6,Cases!F:F,0)</f>
        <v>2</v>
      </c>
      <c r="F6" s="6">
        <f>COUNTIFS(Cases!C:C,A6,Cases!Q:Q,"High")</f>
        <v>2</v>
      </c>
    </row>
    <row r="7" ht="15.0" customHeight="1">
      <c r="A7" s="6">
        <v>2011.0</v>
      </c>
      <c r="B7" s="6">
        <f>COUNTIF(Cases!C:C,A7)</f>
        <v>9</v>
      </c>
      <c r="C7" s="42">
        <f>SUMIF(Cases!C:C,A7,Cases!F:F)</f>
        <v>4</v>
      </c>
      <c r="D7" s="6">
        <f>COUNTIFS(Cases!C:C,A7,Cases!F:F,"&gt;0")</f>
        <v>2</v>
      </c>
      <c r="E7" s="6">
        <f>COUNTIFS(Cases!C:C,A7,Cases!F:F,0)</f>
        <v>7</v>
      </c>
      <c r="F7" s="6">
        <f>COUNTIFS(Cases!C:C,A7,Cases!Q:Q,"High")</f>
        <v>2</v>
      </c>
    </row>
    <row r="8" ht="15.0" customHeight="1">
      <c r="A8" s="6">
        <v>2012.0</v>
      </c>
      <c r="B8" s="6">
        <f>COUNTIF(Cases!C:C,A8)</f>
        <v>4</v>
      </c>
      <c r="C8" s="42">
        <f>SUMIF(Cases!C:C,A8,Cases!F:F)</f>
        <v>17</v>
      </c>
      <c r="D8" s="6">
        <f>COUNTIFS(Cases!C:C,A8,Cases!F:F,"&gt;0")</f>
        <v>3</v>
      </c>
      <c r="E8" s="6">
        <f>COUNTIFS(Cases!C:C,A8,Cases!F:F,0)</f>
        <v>1</v>
      </c>
      <c r="F8" s="6">
        <f>COUNTIFS(Cases!C:C,A8,Cases!Q:Q,"High")</f>
        <v>2</v>
      </c>
    </row>
    <row r="9" ht="15.0" customHeight="1">
      <c r="A9" s="6">
        <v>2013.0</v>
      </c>
      <c r="B9" s="6">
        <f>COUNTIF(Cases!C:C,A9)</f>
        <v>7</v>
      </c>
      <c r="C9" s="42">
        <f>SUMIF(Cases!C:C,A9,Cases!F:F)</f>
        <v>0.5</v>
      </c>
      <c r="D9" s="6">
        <f>COUNTIFS(Cases!C:C,A9,Cases!F:F,"&gt;0")</f>
        <v>1</v>
      </c>
      <c r="E9" s="6">
        <f>COUNTIFS(Cases!C:C,A9,Cases!F:F,0)</f>
        <v>6</v>
      </c>
      <c r="F9" s="6">
        <f>COUNTIFS(Cases!C:C,A9,Cases!Q:Q,"High")</f>
        <v>3</v>
      </c>
    </row>
    <row r="10" ht="15.0" customHeight="1">
      <c r="A10" s="6">
        <v>2014.0</v>
      </c>
      <c r="B10" s="6">
        <f>COUNTIF(Cases!C:C,A10)</f>
        <v>3</v>
      </c>
      <c r="C10" s="42">
        <f>SUMIF(Cases!C:C,A10,Cases!F:F)</f>
        <v>20.5</v>
      </c>
      <c r="D10" s="6">
        <f>COUNTIFS(Cases!C:C,A10,Cases!F:F,"&gt;0")</f>
        <v>2</v>
      </c>
      <c r="E10" s="6">
        <f>COUNTIFS(Cases!C:C,A10,Cases!F:F,0)</f>
        <v>1</v>
      </c>
      <c r="F10" s="6">
        <f>COUNTIFS(Cases!C:C,A10,Cases!Q:Q,"High")</f>
        <v>2</v>
      </c>
    </row>
    <row r="11" ht="15.0" customHeight="1">
      <c r="A11" s="6">
        <v>2015.0</v>
      </c>
      <c r="B11" s="6">
        <f>COUNTIF(Cases!C:C,A11)</f>
        <v>1</v>
      </c>
      <c r="C11" s="42">
        <f>SUMIF(Cases!C:C,A11,Cases!F:F)</f>
        <v>0.5</v>
      </c>
      <c r="D11" s="6">
        <f>COUNTIFS(Cases!C:C,A11,Cases!F:F,"&gt;0")</f>
        <v>1</v>
      </c>
      <c r="E11" s="6">
        <f>COUNTIFS(Cases!C:C,A11,Cases!F:F,0)</f>
        <v>0</v>
      </c>
      <c r="F11" s="6">
        <f>COUNTIFS(Cases!C:C,A11,Cases!Q:Q,"High")</f>
        <v>1</v>
      </c>
    </row>
    <row r="12" ht="15.0" customHeight="1">
      <c r="A12" s="6">
        <v>2016.0</v>
      </c>
      <c r="B12" s="6">
        <f>COUNTIF(Cases!C:C,A12)</f>
        <v>4</v>
      </c>
      <c r="C12" s="42">
        <f>SUMIF(Cases!C:C,A12,Cases!F:F)</f>
        <v>34.5</v>
      </c>
      <c r="D12" s="6">
        <f>COUNTIFS(Cases!C:C,A12,Cases!F:F,"&gt;0")</f>
        <v>4</v>
      </c>
      <c r="E12" s="6">
        <f>COUNTIFS(Cases!C:C,A12,Cases!F:F,0)</f>
        <v>0</v>
      </c>
      <c r="F12" s="6">
        <f>COUNTIFS(Cases!C:C,A12,Cases!Q:Q,"High")</f>
        <v>4</v>
      </c>
    </row>
    <row r="13" ht="15.0" customHeight="1">
      <c r="A13" s="6">
        <v>2017.0</v>
      </c>
      <c r="B13" s="6">
        <f>COUNTIF(Cases!C:C,A13)</f>
        <v>5</v>
      </c>
      <c r="C13" s="42">
        <f>SUMIF(Cases!C:C,A13,Cases!F:F)</f>
        <v>17</v>
      </c>
      <c r="D13" s="6">
        <f>COUNTIFS(Cases!C:C,A13,Cases!F:F,"&gt;0")</f>
        <v>3</v>
      </c>
      <c r="E13" s="6">
        <f>COUNTIFS(Cases!C:C,A13,Cases!F:F,0)</f>
        <v>2</v>
      </c>
      <c r="F13" s="6">
        <f>COUNTIFS(Cases!C:C,A13,Cases!Q:Q,"High")</f>
        <v>3</v>
      </c>
    </row>
    <row r="14" ht="15.0" customHeight="1">
      <c r="A14" s="6">
        <v>2018.0</v>
      </c>
      <c r="B14" s="6">
        <f>COUNTIF(Cases!C:C,A14)</f>
        <v>1</v>
      </c>
      <c r="C14" s="42">
        <f>SUMIF(Cases!C:C,A14,Cases!F:F)</f>
        <v>2</v>
      </c>
      <c r="D14" s="6">
        <f>COUNTIFS(Cases!C:C,A14,Cases!F:F,"&gt;0")</f>
        <v>1</v>
      </c>
      <c r="E14" s="6">
        <f>COUNTIFS(Cases!C:C,A14,Cases!F:F,0)</f>
        <v>0</v>
      </c>
      <c r="F14" s="6">
        <f>COUNTIFS(Cases!C:C,A14,Cases!Q:Q,"High")</f>
        <v>1</v>
      </c>
    </row>
    <row r="15" ht="15.0" customHeight="1">
      <c r="A15" s="6">
        <v>2019.0</v>
      </c>
      <c r="B15" s="6">
        <f>COUNTIF(Cases!C:C,A15)</f>
        <v>5</v>
      </c>
      <c r="C15" s="42">
        <f>SUMIF(Cases!C:C,A15,Cases!F:F)</f>
        <v>50</v>
      </c>
      <c r="D15" s="6">
        <f>COUNTIFS(Cases!C:C,A15,Cases!F:F,"&gt;0")</f>
        <v>2</v>
      </c>
      <c r="E15" s="6">
        <f>COUNTIFS(Cases!C:C,A15,Cases!F:F,0)</f>
        <v>3</v>
      </c>
      <c r="F15" s="6">
        <f>COUNTIFS(Cases!C:C,A15,Cases!Q:Q,"High")</f>
        <v>4</v>
      </c>
    </row>
    <row r="16" ht="15.0" customHeight="1">
      <c r="A16" s="6">
        <v>2020.0</v>
      </c>
      <c r="B16" s="6">
        <f>COUNTIF(Cases!C:C,A16)</f>
        <v>14</v>
      </c>
      <c r="C16" s="42">
        <f>SUMIF(Cases!C:C,A16,Cases!F:F)</f>
        <v>94.5</v>
      </c>
      <c r="D16" s="6">
        <f>COUNTIFS(Cases!C:C,A16,Cases!F:F,"&gt;0")</f>
        <v>8</v>
      </c>
      <c r="E16" s="6">
        <f>COUNTIFS(Cases!C:C,A16,Cases!F:F,0)</f>
        <v>6</v>
      </c>
      <c r="F16" s="6">
        <f>COUNTIFS(Cases!C:C,A16,Cases!Q:Q,"High")</f>
        <v>7</v>
      </c>
    </row>
    <row r="17" ht="15.0" customHeight="1">
      <c r="A17" s="6">
        <v>2021.0</v>
      </c>
      <c r="B17" s="6">
        <f>COUNTIF(Cases!C:C,A17)</f>
        <v>9</v>
      </c>
      <c r="C17" s="42">
        <f>SUMIF(Cases!C:C,A17,Cases!F:F)</f>
        <v>3</v>
      </c>
      <c r="D17" s="6">
        <f>COUNTIFS(Cases!C:C,A17,Cases!F:F,"&gt;0")</f>
        <v>2</v>
      </c>
      <c r="E17" s="6">
        <f>COUNTIFS(Cases!C:C,A17,Cases!F:F,0)</f>
        <v>7</v>
      </c>
      <c r="F17" s="6">
        <f>COUNTIFS(Cases!C:C,A17,Cases!Q:Q,"High")</f>
        <v>5</v>
      </c>
    </row>
    <row r="18" ht="15.0" customHeight="1">
      <c r="A18" s="6">
        <v>2022.0</v>
      </c>
      <c r="B18" s="6">
        <f>COUNTIF(Cases!C:C,A18)</f>
        <v>7</v>
      </c>
      <c r="C18" s="42">
        <f>SUMIF(Cases!C:C,A18,Cases!F:F)</f>
        <v>21</v>
      </c>
      <c r="D18" s="6">
        <f>COUNTIFS(Cases!C:C,A18,Cases!F:F,"&gt;0")</f>
        <v>4</v>
      </c>
      <c r="E18" s="6">
        <f>COUNTIFS(Cases!C:C,A18,Cases!F:F,0)</f>
        <v>3</v>
      </c>
      <c r="F18" s="6">
        <f>COUNTIFS(Cases!C:C,A18,Cases!Q:Q,"High")</f>
        <v>5</v>
      </c>
    </row>
    <row r="19" ht="15.0" customHeight="1">
      <c r="A19" s="6">
        <v>2023.0</v>
      </c>
      <c r="B19" s="6">
        <f>COUNTIF(Cases!C:C,A19)</f>
        <v>15</v>
      </c>
      <c r="C19" s="42">
        <f>SUMIF(Cases!C:C,A19,Cases!F:F)</f>
        <v>15.3</v>
      </c>
      <c r="D19" s="6">
        <f>COUNTIFS(Cases!C:C,A19,Cases!F:F,"&gt;0")</f>
        <v>4</v>
      </c>
      <c r="E19" s="6">
        <f>COUNTIFS(Cases!C:C,A19,Cases!F:F,0)</f>
        <v>11</v>
      </c>
      <c r="F19" s="6">
        <f>COUNTIFS(Cases!C:C,A19,Cases!Q:Q,"High")</f>
        <v>8</v>
      </c>
    </row>
    <row r="20" ht="15.0" customHeight="1">
      <c r="A20" s="6">
        <v>2024.0</v>
      </c>
      <c r="B20" s="6">
        <f>COUNTIF(Cases!C:C,A20)</f>
        <v>17</v>
      </c>
      <c r="C20" s="42">
        <f>SUMIF(Cases!C:C,A20,Cases!F:F)</f>
        <v>29.5</v>
      </c>
      <c r="D20" s="6">
        <f>COUNTIFS(Cases!C:C,A20,Cases!F:F,"&gt;0")</f>
        <v>6</v>
      </c>
      <c r="E20" s="6">
        <f>COUNTIFS(Cases!C:C,A20,Cases!F:F,0)</f>
        <v>11</v>
      </c>
      <c r="F20" s="6">
        <f>COUNTIFS(Cases!C:C,A20,Cases!Q:Q,"High")</f>
        <v>10</v>
      </c>
    </row>
    <row r="21" ht="15.0" customHeight="1">
      <c r="A21" s="6">
        <v>2025.0</v>
      </c>
      <c r="B21" s="6">
        <f>COUNTIF(Cases!C:C,A21)</f>
        <v>9</v>
      </c>
      <c r="C21" s="42">
        <f>SUMIF(Cases!C:C,A21,Cases!F:F)</f>
        <v>22.3</v>
      </c>
      <c r="D21" s="6">
        <f>COUNTIFS(Cases!C:C,A21,Cases!F:F,"&gt;0")</f>
        <v>7</v>
      </c>
      <c r="E21" s="6">
        <f>COUNTIFS(Cases!C:C,A21,Cases!F:F,0)</f>
        <v>2</v>
      </c>
      <c r="F21" s="6">
        <f>COUNTIFS(Cases!C:C,A21,Cases!Q:Q,"High")</f>
        <v>4</v>
      </c>
    </row>
    <row r="22" ht="15.0" customHeight="1">
      <c r="A22" s="6">
        <v>2026.0</v>
      </c>
      <c r="B22" s="6">
        <f>COUNTIF(Cases!C:C,A22)</f>
        <v>1</v>
      </c>
      <c r="C22" s="42">
        <f>SUMIF(Cases!C:C,A22,Cases!F:F)</f>
        <v>0</v>
      </c>
      <c r="D22" s="6">
        <f>COUNTIFS(Cases!C:C,A22,Cases!F:F,"&gt;0")</f>
        <v>0</v>
      </c>
      <c r="E22" s="6">
        <f>COUNTIFS(Cases!C:C,A22,Cases!F:F,0)</f>
        <v>1</v>
      </c>
      <c r="F22" s="6">
        <f>COUNTIFS(Cases!C:C,A22,Cases!Q:Q,"High")</f>
        <v>0</v>
      </c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paperSize="9" orientation="portrait"/>
  <drawing r:id="rId1"/>
</worksheet>
</file>